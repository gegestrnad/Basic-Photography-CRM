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2\_Hermes-Main-Dir\_Stuff\"/>
    </mc:Choice>
  </mc:AlternateContent>
  <xr:revisionPtr revIDLastSave="0" documentId="13_ncr:1_{117E34FC-51AC-43E5-9D78-003A4E66D3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Jobs" sheetId="2" r:id="rId2"/>
    <sheet name="Payments" sheetId="3" r:id="rId3"/>
    <sheet name="Tasks" sheetId="4" r:id="rId4"/>
    <sheet name="Lists" sheetId="5" r:id="rId5"/>
  </sheets>
  <definedNames>
    <definedName name="_xlnm._FilterDatabase" localSheetId="1" hidden="1">Jobs!$A$1:$P$501</definedName>
    <definedName name="_xlnm._FilterDatabase" localSheetId="4" hidden="1">Lists!$A$1:$J$501</definedName>
    <definedName name="_xlnm._FilterDatabase" localSheetId="2" hidden="1">Payments!$A$1:$J$501</definedName>
    <definedName name="_xlnm._FilterDatabase" localSheetId="3" hidden="1">Tasks!$A$1:$F$501</definedName>
    <definedName name="ClientSourceList">Lists!$C$2:$C$8</definedName>
    <definedName name="JobIdList">Lists!#REF!:INDEX(Lists!#REF!,MAX(1,COUNTIF(Lists!#REF!,"?*")))</definedName>
    <definedName name="JobStatusList">Lists!$A$2:$A$9</definedName>
    <definedName name="JobTypeList">Lists!$D$2:$D$8</definedName>
    <definedName name="PaymentMethodList">Lists!$F$2:$F$7</definedName>
    <definedName name="PaymentStatusList">Lists!$B$2:$B$5</definedName>
    <definedName name="StaffList">Lists!$G$2:$G$501</definedName>
    <definedName name="TaskStatusList">Lists!$E$2:$E$6</definedName>
    <definedName name="ValidJobIDs">OFFSET(Jobs!$A$2, 0, 0, COUNTA(Jobs!$A$2:$A$501) - COUNTIF(Jobs!$A$2:$A$501, ""), 1)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1" i="4" l="1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I501" i="3"/>
  <c r="H501" i="3"/>
  <c r="C501" i="3"/>
  <c r="A501" i="3"/>
  <c r="I500" i="3"/>
  <c r="H500" i="3"/>
  <c r="C500" i="3"/>
  <c r="A500" i="3"/>
  <c r="I499" i="3"/>
  <c r="H499" i="3"/>
  <c r="C499" i="3"/>
  <c r="A499" i="3"/>
  <c r="I498" i="3"/>
  <c r="H498" i="3"/>
  <c r="C498" i="3"/>
  <c r="A498" i="3"/>
  <c r="I497" i="3"/>
  <c r="H497" i="3"/>
  <c r="C497" i="3"/>
  <c r="A497" i="3"/>
  <c r="I496" i="3"/>
  <c r="H496" i="3"/>
  <c r="C496" i="3"/>
  <c r="A496" i="3"/>
  <c r="I495" i="3"/>
  <c r="H495" i="3"/>
  <c r="C495" i="3"/>
  <c r="A495" i="3"/>
  <c r="I494" i="3"/>
  <c r="H494" i="3"/>
  <c r="C494" i="3"/>
  <c r="A494" i="3"/>
  <c r="I493" i="3"/>
  <c r="H493" i="3"/>
  <c r="C493" i="3"/>
  <c r="A493" i="3"/>
  <c r="I492" i="3"/>
  <c r="H492" i="3"/>
  <c r="C492" i="3"/>
  <c r="A492" i="3"/>
  <c r="I491" i="3"/>
  <c r="H491" i="3"/>
  <c r="C491" i="3"/>
  <c r="A491" i="3"/>
  <c r="I490" i="3"/>
  <c r="H490" i="3"/>
  <c r="C490" i="3"/>
  <c r="A490" i="3"/>
  <c r="I489" i="3"/>
  <c r="H489" i="3"/>
  <c r="C489" i="3"/>
  <c r="A489" i="3"/>
  <c r="I488" i="3"/>
  <c r="H488" i="3"/>
  <c r="C488" i="3"/>
  <c r="A488" i="3"/>
  <c r="I487" i="3"/>
  <c r="H487" i="3"/>
  <c r="C487" i="3"/>
  <c r="A487" i="3"/>
  <c r="I486" i="3"/>
  <c r="H486" i="3"/>
  <c r="C486" i="3"/>
  <c r="A486" i="3"/>
  <c r="I485" i="3"/>
  <c r="H485" i="3"/>
  <c r="C485" i="3"/>
  <c r="A485" i="3"/>
  <c r="I484" i="3"/>
  <c r="H484" i="3"/>
  <c r="C484" i="3"/>
  <c r="A484" i="3"/>
  <c r="I483" i="3"/>
  <c r="H483" i="3"/>
  <c r="C483" i="3"/>
  <c r="A483" i="3"/>
  <c r="I482" i="3"/>
  <c r="H482" i="3"/>
  <c r="C482" i="3"/>
  <c r="A482" i="3"/>
  <c r="I481" i="3"/>
  <c r="H481" i="3"/>
  <c r="C481" i="3"/>
  <c r="A481" i="3"/>
  <c r="I480" i="3"/>
  <c r="H480" i="3"/>
  <c r="C480" i="3"/>
  <c r="A480" i="3"/>
  <c r="I479" i="3"/>
  <c r="H479" i="3"/>
  <c r="C479" i="3"/>
  <c r="A479" i="3"/>
  <c r="I478" i="3"/>
  <c r="H478" i="3"/>
  <c r="C478" i="3"/>
  <c r="A478" i="3"/>
  <c r="I477" i="3"/>
  <c r="H477" i="3"/>
  <c r="C477" i="3"/>
  <c r="A477" i="3"/>
  <c r="I476" i="3"/>
  <c r="H476" i="3"/>
  <c r="C476" i="3"/>
  <c r="A476" i="3"/>
  <c r="I475" i="3"/>
  <c r="H475" i="3"/>
  <c r="C475" i="3"/>
  <c r="A475" i="3"/>
  <c r="I474" i="3"/>
  <c r="H474" i="3"/>
  <c r="C474" i="3"/>
  <c r="A474" i="3"/>
  <c r="I473" i="3"/>
  <c r="H473" i="3"/>
  <c r="C473" i="3"/>
  <c r="A473" i="3"/>
  <c r="I472" i="3"/>
  <c r="H472" i="3"/>
  <c r="C472" i="3"/>
  <c r="A472" i="3"/>
  <c r="I471" i="3"/>
  <c r="H471" i="3"/>
  <c r="C471" i="3"/>
  <c r="A471" i="3"/>
  <c r="I470" i="3"/>
  <c r="H470" i="3"/>
  <c r="C470" i="3"/>
  <c r="A470" i="3"/>
  <c r="I469" i="3"/>
  <c r="H469" i="3"/>
  <c r="C469" i="3"/>
  <c r="A469" i="3"/>
  <c r="I468" i="3"/>
  <c r="H468" i="3"/>
  <c r="C468" i="3"/>
  <c r="A468" i="3"/>
  <c r="I467" i="3"/>
  <c r="H467" i="3"/>
  <c r="C467" i="3"/>
  <c r="A467" i="3"/>
  <c r="I466" i="3"/>
  <c r="H466" i="3"/>
  <c r="C466" i="3"/>
  <c r="A466" i="3"/>
  <c r="I465" i="3"/>
  <c r="H465" i="3"/>
  <c r="C465" i="3"/>
  <c r="A465" i="3"/>
  <c r="I464" i="3"/>
  <c r="H464" i="3"/>
  <c r="C464" i="3"/>
  <c r="A464" i="3"/>
  <c r="I463" i="3"/>
  <c r="H463" i="3"/>
  <c r="C463" i="3"/>
  <c r="A463" i="3"/>
  <c r="I462" i="3"/>
  <c r="H462" i="3"/>
  <c r="C462" i="3"/>
  <c r="A462" i="3"/>
  <c r="I461" i="3"/>
  <c r="H461" i="3"/>
  <c r="C461" i="3"/>
  <c r="A461" i="3"/>
  <c r="I460" i="3"/>
  <c r="H460" i="3"/>
  <c r="C460" i="3"/>
  <c r="A460" i="3"/>
  <c r="I459" i="3"/>
  <c r="H459" i="3"/>
  <c r="C459" i="3"/>
  <c r="A459" i="3"/>
  <c r="I458" i="3"/>
  <c r="H458" i="3"/>
  <c r="C458" i="3"/>
  <c r="A458" i="3"/>
  <c r="I457" i="3"/>
  <c r="H457" i="3"/>
  <c r="C457" i="3"/>
  <c r="A457" i="3"/>
  <c r="I456" i="3"/>
  <c r="H456" i="3"/>
  <c r="C456" i="3"/>
  <c r="A456" i="3"/>
  <c r="I455" i="3"/>
  <c r="H455" i="3"/>
  <c r="C455" i="3"/>
  <c r="A455" i="3"/>
  <c r="I454" i="3"/>
  <c r="H454" i="3"/>
  <c r="C454" i="3"/>
  <c r="A454" i="3"/>
  <c r="I453" i="3"/>
  <c r="H453" i="3"/>
  <c r="C453" i="3"/>
  <c r="A453" i="3"/>
  <c r="I452" i="3"/>
  <c r="H452" i="3"/>
  <c r="C452" i="3"/>
  <c r="A452" i="3"/>
  <c r="I451" i="3"/>
  <c r="H451" i="3"/>
  <c r="C451" i="3"/>
  <c r="A451" i="3"/>
  <c r="I450" i="3"/>
  <c r="H450" i="3"/>
  <c r="C450" i="3"/>
  <c r="A450" i="3"/>
  <c r="I449" i="3"/>
  <c r="H449" i="3"/>
  <c r="C449" i="3"/>
  <c r="A449" i="3"/>
  <c r="I448" i="3"/>
  <c r="H448" i="3"/>
  <c r="C448" i="3"/>
  <c r="A448" i="3"/>
  <c r="I447" i="3"/>
  <c r="H447" i="3"/>
  <c r="C447" i="3"/>
  <c r="A447" i="3"/>
  <c r="I446" i="3"/>
  <c r="H446" i="3"/>
  <c r="C446" i="3"/>
  <c r="A446" i="3"/>
  <c r="I445" i="3"/>
  <c r="H445" i="3"/>
  <c r="C445" i="3"/>
  <c r="A445" i="3"/>
  <c r="I444" i="3"/>
  <c r="H444" i="3"/>
  <c r="C444" i="3"/>
  <c r="A444" i="3"/>
  <c r="I443" i="3"/>
  <c r="H443" i="3"/>
  <c r="C443" i="3"/>
  <c r="A443" i="3"/>
  <c r="I442" i="3"/>
  <c r="H442" i="3"/>
  <c r="C442" i="3"/>
  <c r="A442" i="3"/>
  <c r="I441" i="3"/>
  <c r="H441" i="3"/>
  <c r="C441" i="3"/>
  <c r="A441" i="3"/>
  <c r="I440" i="3"/>
  <c r="H440" i="3"/>
  <c r="C440" i="3"/>
  <c r="A440" i="3"/>
  <c r="I439" i="3"/>
  <c r="H439" i="3"/>
  <c r="C439" i="3"/>
  <c r="A439" i="3"/>
  <c r="I438" i="3"/>
  <c r="H438" i="3"/>
  <c r="C438" i="3"/>
  <c r="A438" i="3"/>
  <c r="I437" i="3"/>
  <c r="H437" i="3"/>
  <c r="C437" i="3"/>
  <c r="A437" i="3"/>
  <c r="I436" i="3"/>
  <c r="H436" i="3"/>
  <c r="C436" i="3"/>
  <c r="A436" i="3"/>
  <c r="I435" i="3"/>
  <c r="H435" i="3"/>
  <c r="C435" i="3"/>
  <c r="A435" i="3"/>
  <c r="I434" i="3"/>
  <c r="H434" i="3"/>
  <c r="C434" i="3"/>
  <c r="A434" i="3"/>
  <c r="I433" i="3"/>
  <c r="H433" i="3"/>
  <c r="C433" i="3"/>
  <c r="A433" i="3"/>
  <c r="I432" i="3"/>
  <c r="H432" i="3"/>
  <c r="C432" i="3"/>
  <c r="A432" i="3"/>
  <c r="I431" i="3"/>
  <c r="H431" i="3"/>
  <c r="C431" i="3"/>
  <c r="A431" i="3"/>
  <c r="I430" i="3"/>
  <c r="H430" i="3"/>
  <c r="C430" i="3"/>
  <c r="A430" i="3"/>
  <c r="I429" i="3"/>
  <c r="H429" i="3"/>
  <c r="C429" i="3"/>
  <c r="A429" i="3"/>
  <c r="I428" i="3"/>
  <c r="H428" i="3"/>
  <c r="C428" i="3"/>
  <c r="A428" i="3"/>
  <c r="I427" i="3"/>
  <c r="H427" i="3"/>
  <c r="C427" i="3"/>
  <c r="A427" i="3"/>
  <c r="I426" i="3"/>
  <c r="H426" i="3"/>
  <c r="C426" i="3"/>
  <c r="A426" i="3"/>
  <c r="I425" i="3"/>
  <c r="H425" i="3"/>
  <c r="C425" i="3"/>
  <c r="A425" i="3"/>
  <c r="I424" i="3"/>
  <c r="H424" i="3"/>
  <c r="C424" i="3"/>
  <c r="A424" i="3"/>
  <c r="I423" i="3"/>
  <c r="H423" i="3"/>
  <c r="C423" i="3"/>
  <c r="A423" i="3"/>
  <c r="I422" i="3"/>
  <c r="H422" i="3"/>
  <c r="C422" i="3"/>
  <c r="A422" i="3"/>
  <c r="I421" i="3"/>
  <c r="H421" i="3"/>
  <c r="C421" i="3"/>
  <c r="A421" i="3"/>
  <c r="I420" i="3"/>
  <c r="H420" i="3"/>
  <c r="C420" i="3"/>
  <c r="A420" i="3"/>
  <c r="I419" i="3"/>
  <c r="H419" i="3"/>
  <c r="C419" i="3"/>
  <c r="A419" i="3"/>
  <c r="I418" i="3"/>
  <c r="H418" i="3"/>
  <c r="C418" i="3"/>
  <c r="A418" i="3"/>
  <c r="I417" i="3"/>
  <c r="H417" i="3"/>
  <c r="C417" i="3"/>
  <c r="A417" i="3"/>
  <c r="I416" i="3"/>
  <c r="H416" i="3"/>
  <c r="C416" i="3"/>
  <c r="A416" i="3"/>
  <c r="I415" i="3"/>
  <c r="H415" i="3"/>
  <c r="C415" i="3"/>
  <c r="A415" i="3"/>
  <c r="I414" i="3"/>
  <c r="H414" i="3"/>
  <c r="C414" i="3"/>
  <c r="A414" i="3"/>
  <c r="I413" i="3"/>
  <c r="H413" i="3"/>
  <c r="C413" i="3"/>
  <c r="A413" i="3"/>
  <c r="I412" i="3"/>
  <c r="H412" i="3"/>
  <c r="C412" i="3"/>
  <c r="A412" i="3"/>
  <c r="I411" i="3"/>
  <c r="H411" i="3"/>
  <c r="C411" i="3"/>
  <c r="A411" i="3"/>
  <c r="I410" i="3"/>
  <c r="H410" i="3"/>
  <c r="C410" i="3"/>
  <c r="A410" i="3"/>
  <c r="I409" i="3"/>
  <c r="H409" i="3"/>
  <c r="C409" i="3"/>
  <c r="A409" i="3"/>
  <c r="I408" i="3"/>
  <c r="H408" i="3"/>
  <c r="C408" i="3"/>
  <c r="A408" i="3"/>
  <c r="I407" i="3"/>
  <c r="H407" i="3"/>
  <c r="C407" i="3"/>
  <c r="A407" i="3"/>
  <c r="I406" i="3"/>
  <c r="H406" i="3"/>
  <c r="C406" i="3"/>
  <c r="A406" i="3"/>
  <c r="I405" i="3"/>
  <c r="H405" i="3"/>
  <c r="C405" i="3"/>
  <c r="A405" i="3"/>
  <c r="I404" i="3"/>
  <c r="H404" i="3"/>
  <c r="C404" i="3"/>
  <c r="A404" i="3"/>
  <c r="I403" i="3"/>
  <c r="H403" i="3"/>
  <c r="C403" i="3"/>
  <c r="A403" i="3"/>
  <c r="I402" i="3"/>
  <c r="H402" i="3"/>
  <c r="C402" i="3"/>
  <c r="A402" i="3"/>
  <c r="I401" i="3"/>
  <c r="H401" i="3"/>
  <c r="C401" i="3"/>
  <c r="A401" i="3"/>
  <c r="I400" i="3"/>
  <c r="H400" i="3"/>
  <c r="C400" i="3"/>
  <c r="A400" i="3"/>
  <c r="I399" i="3"/>
  <c r="H399" i="3"/>
  <c r="C399" i="3"/>
  <c r="A399" i="3"/>
  <c r="I398" i="3"/>
  <c r="H398" i="3"/>
  <c r="C398" i="3"/>
  <c r="A398" i="3"/>
  <c r="I397" i="3"/>
  <c r="H397" i="3"/>
  <c r="C397" i="3"/>
  <c r="A397" i="3"/>
  <c r="I396" i="3"/>
  <c r="H396" i="3"/>
  <c r="C396" i="3"/>
  <c r="A396" i="3"/>
  <c r="I395" i="3"/>
  <c r="H395" i="3"/>
  <c r="C395" i="3"/>
  <c r="A395" i="3"/>
  <c r="I394" i="3"/>
  <c r="H394" i="3"/>
  <c r="C394" i="3"/>
  <c r="A394" i="3"/>
  <c r="I393" i="3"/>
  <c r="H393" i="3"/>
  <c r="C393" i="3"/>
  <c r="A393" i="3"/>
  <c r="I392" i="3"/>
  <c r="H392" i="3"/>
  <c r="C392" i="3"/>
  <c r="A392" i="3"/>
  <c r="I391" i="3"/>
  <c r="H391" i="3"/>
  <c r="C391" i="3"/>
  <c r="A391" i="3"/>
  <c r="I390" i="3"/>
  <c r="H390" i="3"/>
  <c r="C390" i="3"/>
  <c r="A390" i="3"/>
  <c r="I389" i="3"/>
  <c r="H389" i="3"/>
  <c r="C389" i="3"/>
  <c r="A389" i="3"/>
  <c r="I388" i="3"/>
  <c r="H388" i="3"/>
  <c r="C388" i="3"/>
  <c r="A388" i="3"/>
  <c r="I387" i="3"/>
  <c r="H387" i="3"/>
  <c r="C387" i="3"/>
  <c r="A387" i="3"/>
  <c r="I386" i="3"/>
  <c r="H386" i="3"/>
  <c r="C386" i="3"/>
  <c r="A386" i="3"/>
  <c r="I385" i="3"/>
  <c r="H385" i="3"/>
  <c r="C385" i="3"/>
  <c r="A385" i="3"/>
  <c r="I384" i="3"/>
  <c r="H384" i="3"/>
  <c r="C384" i="3"/>
  <c r="A384" i="3"/>
  <c r="I383" i="3"/>
  <c r="H383" i="3"/>
  <c r="C383" i="3"/>
  <c r="A383" i="3"/>
  <c r="I382" i="3"/>
  <c r="H382" i="3"/>
  <c r="C382" i="3"/>
  <c r="A382" i="3"/>
  <c r="I381" i="3"/>
  <c r="H381" i="3"/>
  <c r="C381" i="3"/>
  <c r="A381" i="3"/>
  <c r="I380" i="3"/>
  <c r="H380" i="3"/>
  <c r="C380" i="3"/>
  <c r="A380" i="3"/>
  <c r="I379" i="3"/>
  <c r="H379" i="3"/>
  <c r="C379" i="3"/>
  <c r="A379" i="3"/>
  <c r="I378" i="3"/>
  <c r="H378" i="3"/>
  <c r="C378" i="3"/>
  <c r="A378" i="3"/>
  <c r="I377" i="3"/>
  <c r="H377" i="3"/>
  <c r="C377" i="3"/>
  <c r="A377" i="3"/>
  <c r="I376" i="3"/>
  <c r="H376" i="3"/>
  <c r="C376" i="3"/>
  <c r="A376" i="3"/>
  <c r="I375" i="3"/>
  <c r="H375" i="3"/>
  <c r="C375" i="3"/>
  <c r="A375" i="3"/>
  <c r="I374" i="3"/>
  <c r="H374" i="3"/>
  <c r="C374" i="3"/>
  <c r="A374" i="3"/>
  <c r="I373" i="3"/>
  <c r="H373" i="3"/>
  <c r="C373" i="3"/>
  <c r="A373" i="3"/>
  <c r="I372" i="3"/>
  <c r="H372" i="3"/>
  <c r="C372" i="3"/>
  <c r="A372" i="3"/>
  <c r="I371" i="3"/>
  <c r="H371" i="3"/>
  <c r="C371" i="3"/>
  <c r="A371" i="3"/>
  <c r="I370" i="3"/>
  <c r="H370" i="3"/>
  <c r="C370" i="3"/>
  <c r="A370" i="3"/>
  <c r="I369" i="3"/>
  <c r="H369" i="3"/>
  <c r="C369" i="3"/>
  <c r="A369" i="3"/>
  <c r="I368" i="3"/>
  <c r="H368" i="3"/>
  <c r="C368" i="3"/>
  <c r="A368" i="3"/>
  <c r="I367" i="3"/>
  <c r="H367" i="3"/>
  <c r="C367" i="3"/>
  <c r="A367" i="3"/>
  <c r="I366" i="3"/>
  <c r="H366" i="3"/>
  <c r="C366" i="3"/>
  <c r="A366" i="3"/>
  <c r="I365" i="3"/>
  <c r="H365" i="3"/>
  <c r="C365" i="3"/>
  <c r="A365" i="3"/>
  <c r="I364" i="3"/>
  <c r="H364" i="3"/>
  <c r="C364" i="3"/>
  <c r="A364" i="3"/>
  <c r="I363" i="3"/>
  <c r="H363" i="3"/>
  <c r="C363" i="3"/>
  <c r="A363" i="3"/>
  <c r="I362" i="3"/>
  <c r="H362" i="3"/>
  <c r="C362" i="3"/>
  <c r="A362" i="3"/>
  <c r="I361" i="3"/>
  <c r="H361" i="3"/>
  <c r="C361" i="3"/>
  <c r="A361" i="3"/>
  <c r="I360" i="3"/>
  <c r="H360" i="3"/>
  <c r="C360" i="3"/>
  <c r="A360" i="3"/>
  <c r="I359" i="3"/>
  <c r="H359" i="3"/>
  <c r="C359" i="3"/>
  <c r="A359" i="3"/>
  <c r="I358" i="3"/>
  <c r="H358" i="3"/>
  <c r="C358" i="3"/>
  <c r="A358" i="3"/>
  <c r="I357" i="3"/>
  <c r="H357" i="3"/>
  <c r="C357" i="3"/>
  <c r="A357" i="3"/>
  <c r="I356" i="3"/>
  <c r="H356" i="3"/>
  <c r="C356" i="3"/>
  <c r="A356" i="3"/>
  <c r="I355" i="3"/>
  <c r="H355" i="3"/>
  <c r="C355" i="3"/>
  <c r="A355" i="3"/>
  <c r="I354" i="3"/>
  <c r="H354" i="3"/>
  <c r="C354" i="3"/>
  <c r="A354" i="3"/>
  <c r="I353" i="3"/>
  <c r="H353" i="3"/>
  <c r="C353" i="3"/>
  <c r="A353" i="3"/>
  <c r="I352" i="3"/>
  <c r="H352" i="3"/>
  <c r="C352" i="3"/>
  <c r="A352" i="3"/>
  <c r="I351" i="3"/>
  <c r="H351" i="3"/>
  <c r="C351" i="3"/>
  <c r="A351" i="3"/>
  <c r="I350" i="3"/>
  <c r="H350" i="3"/>
  <c r="C350" i="3"/>
  <c r="A350" i="3"/>
  <c r="I349" i="3"/>
  <c r="H349" i="3"/>
  <c r="C349" i="3"/>
  <c r="A349" i="3"/>
  <c r="I348" i="3"/>
  <c r="H348" i="3"/>
  <c r="C348" i="3"/>
  <c r="A348" i="3"/>
  <c r="I347" i="3"/>
  <c r="H347" i="3"/>
  <c r="C347" i="3"/>
  <c r="A347" i="3"/>
  <c r="I346" i="3"/>
  <c r="H346" i="3"/>
  <c r="C346" i="3"/>
  <c r="A346" i="3"/>
  <c r="I345" i="3"/>
  <c r="H345" i="3"/>
  <c r="C345" i="3"/>
  <c r="A345" i="3"/>
  <c r="I344" i="3"/>
  <c r="H344" i="3"/>
  <c r="C344" i="3"/>
  <c r="A344" i="3"/>
  <c r="I343" i="3"/>
  <c r="H343" i="3"/>
  <c r="C343" i="3"/>
  <c r="A343" i="3"/>
  <c r="I342" i="3"/>
  <c r="H342" i="3"/>
  <c r="C342" i="3"/>
  <c r="A342" i="3"/>
  <c r="I341" i="3"/>
  <c r="H341" i="3"/>
  <c r="C341" i="3"/>
  <c r="A341" i="3"/>
  <c r="I340" i="3"/>
  <c r="H340" i="3"/>
  <c r="C340" i="3"/>
  <c r="A340" i="3"/>
  <c r="I339" i="3"/>
  <c r="H339" i="3"/>
  <c r="C339" i="3"/>
  <c r="A339" i="3"/>
  <c r="I338" i="3"/>
  <c r="H338" i="3"/>
  <c r="C338" i="3"/>
  <c r="A338" i="3"/>
  <c r="I337" i="3"/>
  <c r="H337" i="3"/>
  <c r="C337" i="3"/>
  <c r="A337" i="3"/>
  <c r="I336" i="3"/>
  <c r="H336" i="3"/>
  <c r="C336" i="3"/>
  <c r="A336" i="3"/>
  <c r="I335" i="3"/>
  <c r="H335" i="3"/>
  <c r="C335" i="3"/>
  <c r="A335" i="3"/>
  <c r="I334" i="3"/>
  <c r="H334" i="3"/>
  <c r="C334" i="3"/>
  <c r="A334" i="3"/>
  <c r="I333" i="3"/>
  <c r="H333" i="3"/>
  <c r="C333" i="3"/>
  <c r="A333" i="3"/>
  <c r="I332" i="3"/>
  <c r="H332" i="3"/>
  <c r="C332" i="3"/>
  <c r="A332" i="3"/>
  <c r="I331" i="3"/>
  <c r="H331" i="3"/>
  <c r="C331" i="3"/>
  <c r="A331" i="3"/>
  <c r="I330" i="3"/>
  <c r="H330" i="3"/>
  <c r="C330" i="3"/>
  <c r="A330" i="3"/>
  <c r="I329" i="3"/>
  <c r="H329" i="3"/>
  <c r="C329" i="3"/>
  <c r="A329" i="3"/>
  <c r="I328" i="3"/>
  <c r="H328" i="3"/>
  <c r="C328" i="3"/>
  <c r="A328" i="3"/>
  <c r="I327" i="3"/>
  <c r="H327" i="3"/>
  <c r="C327" i="3"/>
  <c r="A327" i="3"/>
  <c r="I326" i="3"/>
  <c r="H326" i="3"/>
  <c r="C326" i="3"/>
  <c r="A326" i="3"/>
  <c r="I325" i="3"/>
  <c r="H325" i="3"/>
  <c r="C325" i="3"/>
  <c r="A325" i="3"/>
  <c r="I324" i="3"/>
  <c r="H324" i="3"/>
  <c r="C324" i="3"/>
  <c r="A324" i="3"/>
  <c r="I323" i="3"/>
  <c r="H323" i="3"/>
  <c r="C323" i="3"/>
  <c r="A323" i="3"/>
  <c r="I322" i="3"/>
  <c r="H322" i="3"/>
  <c r="C322" i="3"/>
  <c r="A322" i="3"/>
  <c r="I321" i="3"/>
  <c r="H321" i="3"/>
  <c r="C321" i="3"/>
  <c r="A321" i="3"/>
  <c r="I320" i="3"/>
  <c r="H320" i="3"/>
  <c r="C320" i="3"/>
  <c r="A320" i="3"/>
  <c r="I319" i="3"/>
  <c r="H319" i="3"/>
  <c r="C319" i="3"/>
  <c r="A319" i="3"/>
  <c r="I318" i="3"/>
  <c r="H318" i="3"/>
  <c r="C318" i="3"/>
  <c r="A318" i="3"/>
  <c r="I317" i="3"/>
  <c r="H317" i="3"/>
  <c r="C317" i="3"/>
  <c r="A317" i="3"/>
  <c r="I316" i="3"/>
  <c r="H316" i="3"/>
  <c r="C316" i="3"/>
  <c r="A316" i="3"/>
  <c r="I315" i="3"/>
  <c r="H315" i="3"/>
  <c r="C315" i="3"/>
  <c r="A315" i="3"/>
  <c r="I314" i="3"/>
  <c r="H314" i="3"/>
  <c r="C314" i="3"/>
  <c r="A314" i="3"/>
  <c r="I313" i="3"/>
  <c r="H313" i="3"/>
  <c r="C313" i="3"/>
  <c r="A313" i="3"/>
  <c r="I312" i="3"/>
  <c r="H312" i="3"/>
  <c r="C312" i="3"/>
  <c r="A312" i="3"/>
  <c r="I311" i="3"/>
  <c r="H311" i="3"/>
  <c r="C311" i="3"/>
  <c r="A311" i="3"/>
  <c r="I310" i="3"/>
  <c r="H310" i="3"/>
  <c r="C310" i="3"/>
  <c r="A310" i="3"/>
  <c r="I309" i="3"/>
  <c r="H309" i="3"/>
  <c r="C309" i="3"/>
  <c r="A309" i="3"/>
  <c r="I308" i="3"/>
  <c r="H308" i="3"/>
  <c r="C308" i="3"/>
  <c r="A308" i="3"/>
  <c r="I307" i="3"/>
  <c r="H307" i="3"/>
  <c r="C307" i="3"/>
  <c r="A307" i="3"/>
  <c r="I306" i="3"/>
  <c r="H306" i="3"/>
  <c r="C306" i="3"/>
  <c r="A306" i="3"/>
  <c r="I305" i="3"/>
  <c r="H305" i="3"/>
  <c r="C305" i="3"/>
  <c r="A305" i="3"/>
  <c r="I304" i="3"/>
  <c r="H304" i="3"/>
  <c r="C304" i="3"/>
  <c r="A304" i="3"/>
  <c r="I303" i="3"/>
  <c r="H303" i="3"/>
  <c r="C303" i="3"/>
  <c r="A303" i="3"/>
  <c r="I302" i="3"/>
  <c r="H302" i="3"/>
  <c r="C302" i="3"/>
  <c r="A302" i="3"/>
  <c r="I301" i="3"/>
  <c r="H301" i="3"/>
  <c r="C301" i="3"/>
  <c r="A301" i="3"/>
  <c r="I300" i="3"/>
  <c r="H300" i="3"/>
  <c r="C300" i="3"/>
  <c r="A300" i="3"/>
  <c r="I299" i="3"/>
  <c r="H299" i="3"/>
  <c r="C299" i="3"/>
  <c r="A299" i="3"/>
  <c r="I298" i="3"/>
  <c r="H298" i="3"/>
  <c r="C298" i="3"/>
  <c r="A298" i="3"/>
  <c r="I297" i="3"/>
  <c r="H297" i="3"/>
  <c r="C297" i="3"/>
  <c r="A297" i="3"/>
  <c r="I296" i="3"/>
  <c r="H296" i="3"/>
  <c r="C296" i="3"/>
  <c r="A296" i="3"/>
  <c r="I295" i="3"/>
  <c r="H295" i="3"/>
  <c r="C295" i="3"/>
  <c r="A295" i="3"/>
  <c r="I294" i="3"/>
  <c r="H294" i="3"/>
  <c r="C294" i="3"/>
  <c r="A294" i="3"/>
  <c r="I293" i="3"/>
  <c r="H293" i="3"/>
  <c r="C293" i="3"/>
  <c r="A293" i="3"/>
  <c r="I292" i="3"/>
  <c r="H292" i="3"/>
  <c r="C292" i="3"/>
  <c r="A292" i="3"/>
  <c r="I291" i="3"/>
  <c r="H291" i="3"/>
  <c r="C291" i="3"/>
  <c r="A291" i="3"/>
  <c r="I290" i="3"/>
  <c r="H290" i="3"/>
  <c r="C290" i="3"/>
  <c r="A290" i="3"/>
  <c r="I289" i="3"/>
  <c r="H289" i="3"/>
  <c r="C289" i="3"/>
  <c r="A289" i="3"/>
  <c r="I288" i="3"/>
  <c r="H288" i="3"/>
  <c r="C288" i="3"/>
  <c r="A288" i="3"/>
  <c r="I287" i="3"/>
  <c r="H287" i="3"/>
  <c r="C287" i="3"/>
  <c r="A287" i="3"/>
  <c r="I286" i="3"/>
  <c r="H286" i="3"/>
  <c r="C286" i="3"/>
  <c r="A286" i="3"/>
  <c r="I285" i="3"/>
  <c r="H285" i="3"/>
  <c r="C285" i="3"/>
  <c r="A285" i="3"/>
  <c r="I284" i="3"/>
  <c r="H284" i="3"/>
  <c r="C284" i="3"/>
  <c r="A284" i="3"/>
  <c r="I283" i="3"/>
  <c r="H283" i="3"/>
  <c r="C283" i="3"/>
  <c r="A283" i="3"/>
  <c r="I282" i="3"/>
  <c r="H282" i="3"/>
  <c r="C282" i="3"/>
  <c r="A282" i="3"/>
  <c r="I281" i="3"/>
  <c r="H281" i="3"/>
  <c r="C281" i="3"/>
  <c r="A281" i="3"/>
  <c r="I280" i="3"/>
  <c r="H280" i="3"/>
  <c r="C280" i="3"/>
  <c r="A280" i="3"/>
  <c r="I279" i="3"/>
  <c r="H279" i="3"/>
  <c r="C279" i="3"/>
  <c r="A279" i="3"/>
  <c r="I278" i="3"/>
  <c r="H278" i="3"/>
  <c r="C278" i="3"/>
  <c r="A278" i="3"/>
  <c r="I277" i="3"/>
  <c r="H277" i="3"/>
  <c r="C277" i="3"/>
  <c r="A277" i="3"/>
  <c r="I276" i="3"/>
  <c r="H276" i="3"/>
  <c r="C276" i="3"/>
  <c r="A276" i="3"/>
  <c r="I275" i="3"/>
  <c r="H275" i="3"/>
  <c r="C275" i="3"/>
  <c r="A275" i="3"/>
  <c r="I274" i="3"/>
  <c r="H274" i="3"/>
  <c r="C274" i="3"/>
  <c r="A274" i="3"/>
  <c r="I273" i="3"/>
  <c r="H273" i="3"/>
  <c r="C273" i="3"/>
  <c r="A273" i="3"/>
  <c r="I272" i="3"/>
  <c r="H272" i="3"/>
  <c r="C272" i="3"/>
  <c r="A272" i="3"/>
  <c r="I271" i="3"/>
  <c r="H271" i="3"/>
  <c r="C271" i="3"/>
  <c r="A271" i="3"/>
  <c r="I270" i="3"/>
  <c r="H270" i="3"/>
  <c r="C270" i="3"/>
  <c r="A270" i="3"/>
  <c r="I269" i="3"/>
  <c r="H269" i="3"/>
  <c r="C269" i="3"/>
  <c r="A269" i="3"/>
  <c r="I268" i="3"/>
  <c r="H268" i="3"/>
  <c r="C268" i="3"/>
  <c r="A268" i="3"/>
  <c r="I267" i="3"/>
  <c r="H267" i="3"/>
  <c r="C267" i="3"/>
  <c r="A267" i="3"/>
  <c r="I266" i="3"/>
  <c r="H266" i="3"/>
  <c r="C266" i="3"/>
  <c r="A266" i="3"/>
  <c r="I265" i="3"/>
  <c r="H265" i="3"/>
  <c r="C265" i="3"/>
  <c r="A265" i="3"/>
  <c r="I264" i="3"/>
  <c r="H264" i="3"/>
  <c r="C264" i="3"/>
  <c r="A264" i="3"/>
  <c r="I263" i="3"/>
  <c r="H263" i="3"/>
  <c r="C263" i="3"/>
  <c r="A263" i="3"/>
  <c r="I262" i="3"/>
  <c r="H262" i="3"/>
  <c r="C262" i="3"/>
  <c r="A262" i="3"/>
  <c r="I261" i="3"/>
  <c r="H261" i="3"/>
  <c r="C261" i="3"/>
  <c r="A261" i="3"/>
  <c r="I260" i="3"/>
  <c r="H260" i="3"/>
  <c r="C260" i="3"/>
  <c r="A260" i="3"/>
  <c r="I259" i="3"/>
  <c r="H259" i="3"/>
  <c r="C259" i="3"/>
  <c r="A259" i="3"/>
  <c r="I258" i="3"/>
  <c r="H258" i="3"/>
  <c r="C258" i="3"/>
  <c r="A258" i="3"/>
  <c r="I257" i="3"/>
  <c r="H257" i="3"/>
  <c r="C257" i="3"/>
  <c r="A257" i="3"/>
  <c r="I256" i="3"/>
  <c r="H256" i="3"/>
  <c r="C256" i="3"/>
  <c r="A256" i="3"/>
  <c r="I255" i="3"/>
  <c r="H255" i="3"/>
  <c r="C255" i="3"/>
  <c r="A255" i="3"/>
  <c r="I254" i="3"/>
  <c r="H254" i="3"/>
  <c r="C254" i="3"/>
  <c r="A254" i="3"/>
  <c r="I253" i="3"/>
  <c r="H253" i="3"/>
  <c r="C253" i="3"/>
  <c r="A253" i="3"/>
  <c r="I252" i="3"/>
  <c r="H252" i="3"/>
  <c r="C252" i="3"/>
  <c r="A252" i="3"/>
  <c r="I251" i="3"/>
  <c r="H251" i="3"/>
  <c r="C251" i="3"/>
  <c r="A251" i="3"/>
  <c r="I250" i="3"/>
  <c r="H250" i="3"/>
  <c r="C250" i="3"/>
  <c r="A250" i="3"/>
  <c r="I249" i="3"/>
  <c r="H249" i="3"/>
  <c r="C249" i="3"/>
  <c r="A249" i="3"/>
  <c r="I248" i="3"/>
  <c r="H248" i="3"/>
  <c r="C248" i="3"/>
  <c r="A248" i="3"/>
  <c r="I247" i="3"/>
  <c r="H247" i="3"/>
  <c r="C247" i="3"/>
  <c r="A247" i="3"/>
  <c r="I246" i="3"/>
  <c r="H246" i="3"/>
  <c r="C246" i="3"/>
  <c r="A246" i="3"/>
  <c r="I245" i="3"/>
  <c r="H245" i="3"/>
  <c r="C245" i="3"/>
  <c r="A245" i="3"/>
  <c r="I244" i="3"/>
  <c r="H244" i="3"/>
  <c r="C244" i="3"/>
  <c r="A244" i="3"/>
  <c r="I243" i="3"/>
  <c r="H243" i="3"/>
  <c r="C243" i="3"/>
  <c r="A243" i="3"/>
  <c r="I242" i="3"/>
  <c r="H242" i="3"/>
  <c r="C242" i="3"/>
  <c r="A242" i="3"/>
  <c r="I241" i="3"/>
  <c r="H241" i="3"/>
  <c r="C241" i="3"/>
  <c r="A241" i="3"/>
  <c r="I240" i="3"/>
  <c r="H240" i="3"/>
  <c r="C240" i="3"/>
  <c r="A240" i="3"/>
  <c r="I239" i="3"/>
  <c r="H239" i="3"/>
  <c r="C239" i="3"/>
  <c r="A239" i="3"/>
  <c r="I238" i="3"/>
  <c r="H238" i="3"/>
  <c r="C238" i="3"/>
  <c r="A238" i="3"/>
  <c r="I237" i="3"/>
  <c r="H237" i="3"/>
  <c r="C237" i="3"/>
  <c r="A237" i="3"/>
  <c r="I236" i="3"/>
  <c r="H236" i="3"/>
  <c r="C236" i="3"/>
  <c r="A236" i="3"/>
  <c r="I235" i="3"/>
  <c r="H235" i="3"/>
  <c r="C235" i="3"/>
  <c r="A235" i="3"/>
  <c r="I234" i="3"/>
  <c r="H234" i="3"/>
  <c r="C234" i="3"/>
  <c r="A234" i="3"/>
  <c r="I233" i="3"/>
  <c r="H233" i="3"/>
  <c r="C233" i="3"/>
  <c r="A233" i="3"/>
  <c r="I232" i="3"/>
  <c r="H232" i="3"/>
  <c r="C232" i="3"/>
  <c r="A232" i="3"/>
  <c r="I231" i="3"/>
  <c r="H231" i="3"/>
  <c r="C231" i="3"/>
  <c r="A231" i="3"/>
  <c r="I230" i="3"/>
  <c r="H230" i="3"/>
  <c r="C230" i="3"/>
  <c r="A230" i="3"/>
  <c r="I229" i="3"/>
  <c r="H229" i="3"/>
  <c r="C229" i="3"/>
  <c r="A229" i="3"/>
  <c r="I228" i="3"/>
  <c r="H228" i="3"/>
  <c r="C228" i="3"/>
  <c r="A228" i="3"/>
  <c r="I227" i="3"/>
  <c r="H227" i="3"/>
  <c r="C227" i="3"/>
  <c r="A227" i="3"/>
  <c r="I226" i="3"/>
  <c r="H226" i="3"/>
  <c r="C226" i="3"/>
  <c r="A226" i="3"/>
  <c r="I225" i="3"/>
  <c r="H225" i="3"/>
  <c r="C225" i="3"/>
  <c r="A225" i="3"/>
  <c r="I224" i="3"/>
  <c r="H224" i="3"/>
  <c r="C224" i="3"/>
  <c r="A224" i="3"/>
  <c r="I223" i="3"/>
  <c r="H223" i="3"/>
  <c r="C223" i="3"/>
  <c r="A223" i="3"/>
  <c r="I222" i="3"/>
  <c r="H222" i="3"/>
  <c r="C222" i="3"/>
  <c r="A222" i="3"/>
  <c r="I221" i="3"/>
  <c r="H221" i="3"/>
  <c r="C221" i="3"/>
  <c r="A221" i="3"/>
  <c r="I220" i="3"/>
  <c r="H220" i="3"/>
  <c r="C220" i="3"/>
  <c r="A220" i="3"/>
  <c r="I219" i="3"/>
  <c r="H219" i="3"/>
  <c r="C219" i="3"/>
  <c r="A219" i="3"/>
  <c r="I218" i="3"/>
  <c r="H218" i="3"/>
  <c r="C218" i="3"/>
  <c r="A218" i="3"/>
  <c r="I217" i="3"/>
  <c r="H217" i="3"/>
  <c r="C217" i="3"/>
  <c r="A217" i="3"/>
  <c r="I216" i="3"/>
  <c r="H216" i="3"/>
  <c r="C216" i="3"/>
  <c r="A216" i="3"/>
  <c r="I215" i="3"/>
  <c r="H215" i="3"/>
  <c r="C215" i="3"/>
  <c r="A215" i="3"/>
  <c r="I214" i="3"/>
  <c r="H214" i="3"/>
  <c r="C214" i="3"/>
  <c r="A214" i="3"/>
  <c r="I213" i="3"/>
  <c r="H213" i="3"/>
  <c r="C213" i="3"/>
  <c r="A213" i="3"/>
  <c r="I212" i="3"/>
  <c r="H212" i="3"/>
  <c r="C212" i="3"/>
  <c r="A212" i="3"/>
  <c r="I211" i="3"/>
  <c r="H211" i="3"/>
  <c r="C211" i="3"/>
  <c r="A211" i="3"/>
  <c r="I210" i="3"/>
  <c r="H210" i="3"/>
  <c r="C210" i="3"/>
  <c r="A210" i="3"/>
  <c r="I209" i="3"/>
  <c r="H209" i="3"/>
  <c r="C209" i="3"/>
  <c r="A209" i="3"/>
  <c r="I208" i="3"/>
  <c r="H208" i="3"/>
  <c r="C208" i="3"/>
  <c r="A208" i="3"/>
  <c r="I207" i="3"/>
  <c r="H207" i="3"/>
  <c r="C207" i="3"/>
  <c r="A207" i="3"/>
  <c r="I206" i="3"/>
  <c r="H206" i="3"/>
  <c r="C206" i="3"/>
  <c r="A206" i="3"/>
  <c r="I205" i="3"/>
  <c r="H205" i="3"/>
  <c r="C205" i="3"/>
  <c r="A205" i="3"/>
  <c r="I204" i="3"/>
  <c r="H204" i="3"/>
  <c r="C204" i="3"/>
  <c r="A204" i="3"/>
  <c r="I203" i="3"/>
  <c r="H203" i="3"/>
  <c r="C203" i="3"/>
  <c r="A203" i="3"/>
  <c r="I202" i="3"/>
  <c r="H202" i="3"/>
  <c r="C202" i="3"/>
  <c r="A202" i="3"/>
  <c r="I201" i="3"/>
  <c r="H201" i="3"/>
  <c r="C201" i="3"/>
  <c r="A201" i="3"/>
  <c r="I200" i="3"/>
  <c r="H200" i="3"/>
  <c r="C200" i="3"/>
  <c r="A200" i="3"/>
  <c r="I199" i="3"/>
  <c r="H199" i="3"/>
  <c r="C199" i="3"/>
  <c r="A199" i="3"/>
  <c r="I198" i="3"/>
  <c r="H198" i="3"/>
  <c r="C198" i="3"/>
  <c r="A198" i="3"/>
  <c r="I197" i="3"/>
  <c r="H197" i="3"/>
  <c r="C197" i="3"/>
  <c r="A197" i="3"/>
  <c r="I196" i="3"/>
  <c r="H196" i="3"/>
  <c r="C196" i="3"/>
  <c r="A196" i="3"/>
  <c r="I195" i="3"/>
  <c r="H195" i="3"/>
  <c r="C195" i="3"/>
  <c r="A195" i="3"/>
  <c r="I194" i="3"/>
  <c r="H194" i="3"/>
  <c r="C194" i="3"/>
  <c r="A194" i="3"/>
  <c r="I193" i="3"/>
  <c r="H193" i="3"/>
  <c r="C193" i="3"/>
  <c r="A193" i="3"/>
  <c r="I192" i="3"/>
  <c r="H192" i="3"/>
  <c r="C192" i="3"/>
  <c r="A192" i="3"/>
  <c r="I191" i="3"/>
  <c r="H191" i="3"/>
  <c r="C191" i="3"/>
  <c r="A191" i="3"/>
  <c r="I190" i="3"/>
  <c r="H190" i="3"/>
  <c r="C190" i="3"/>
  <c r="A190" i="3"/>
  <c r="I189" i="3"/>
  <c r="H189" i="3"/>
  <c r="C189" i="3"/>
  <c r="A189" i="3"/>
  <c r="I188" i="3"/>
  <c r="H188" i="3"/>
  <c r="C188" i="3"/>
  <c r="A188" i="3"/>
  <c r="I187" i="3"/>
  <c r="H187" i="3"/>
  <c r="C187" i="3"/>
  <c r="A187" i="3"/>
  <c r="I186" i="3"/>
  <c r="H186" i="3"/>
  <c r="C186" i="3"/>
  <c r="A186" i="3"/>
  <c r="I185" i="3"/>
  <c r="H185" i="3"/>
  <c r="C185" i="3"/>
  <c r="A185" i="3"/>
  <c r="I184" i="3"/>
  <c r="H184" i="3"/>
  <c r="C184" i="3"/>
  <c r="A184" i="3"/>
  <c r="I183" i="3"/>
  <c r="H183" i="3"/>
  <c r="C183" i="3"/>
  <c r="A183" i="3"/>
  <c r="I182" i="3"/>
  <c r="H182" i="3"/>
  <c r="C182" i="3"/>
  <c r="A182" i="3"/>
  <c r="I181" i="3"/>
  <c r="H181" i="3"/>
  <c r="C181" i="3"/>
  <c r="A181" i="3"/>
  <c r="I180" i="3"/>
  <c r="H180" i="3"/>
  <c r="C180" i="3"/>
  <c r="A180" i="3"/>
  <c r="I179" i="3"/>
  <c r="H179" i="3"/>
  <c r="C179" i="3"/>
  <c r="A179" i="3"/>
  <c r="I178" i="3"/>
  <c r="H178" i="3"/>
  <c r="C178" i="3"/>
  <c r="A178" i="3"/>
  <c r="I177" i="3"/>
  <c r="H177" i="3"/>
  <c r="C177" i="3"/>
  <c r="A177" i="3"/>
  <c r="I176" i="3"/>
  <c r="H176" i="3"/>
  <c r="C176" i="3"/>
  <c r="A176" i="3"/>
  <c r="I175" i="3"/>
  <c r="H175" i="3"/>
  <c r="C175" i="3"/>
  <c r="A175" i="3"/>
  <c r="I174" i="3"/>
  <c r="H174" i="3"/>
  <c r="C174" i="3"/>
  <c r="A174" i="3"/>
  <c r="I173" i="3"/>
  <c r="H173" i="3"/>
  <c r="C173" i="3"/>
  <c r="A173" i="3"/>
  <c r="I172" i="3"/>
  <c r="H172" i="3"/>
  <c r="C172" i="3"/>
  <c r="A172" i="3"/>
  <c r="I171" i="3"/>
  <c r="H171" i="3"/>
  <c r="C171" i="3"/>
  <c r="A171" i="3"/>
  <c r="I170" i="3"/>
  <c r="H170" i="3"/>
  <c r="C170" i="3"/>
  <c r="A170" i="3"/>
  <c r="I169" i="3"/>
  <c r="H169" i="3"/>
  <c r="C169" i="3"/>
  <c r="A169" i="3"/>
  <c r="I168" i="3"/>
  <c r="H168" i="3"/>
  <c r="C168" i="3"/>
  <c r="A168" i="3"/>
  <c r="I167" i="3"/>
  <c r="H167" i="3"/>
  <c r="C167" i="3"/>
  <c r="A167" i="3"/>
  <c r="I166" i="3"/>
  <c r="H166" i="3"/>
  <c r="C166" i="3"/>
  <c r="A166" i="3"/>
  <c r="I165" i="3"/>
  <c r="H165" i="3"/>
  <c r="C165" i="3"/>
  <c r="A165" i="3"/>
  <c r="I164" i="3"/>
  <c r="H164" i="3"/>
  <c r="C164" i="3"/>
  <c r="A164" i="3"/>
  <c r="I163" i="3"/>
  <c r="H163" i="3"/>
  <c r="C163" i="3"/>
  <c r="A163" i="3"/>
  <c r="I162" i="3"/>
  <c r="H162" i="3"/>
  <c r="C162" i="3"/>
  <c r="A162" i="3"/>
  <c r="I161" i="3"/>
  <c r="H161" i="3"/>
  <c r="C161" i="3"/>
  <c r="A161" i="3"/>
  <c r="I160" i="3"/>
  <c r="H160" i="3"/>
  <c r="C160" i="3"/>
  <c r="A160" i="3"/>
  <c r="I159" i="3"/>
  <c r="H159" i="3"/>
  <c r="C159" i="3"/>
  <c r="A159" i="3"/>
  <c r="I158" i="3"/>
  <c r="H158" i="3"/>
  <c r="C158" i="3"/>
  <c r="A158" i="3"/>
  <c r="I157" i="3"/>
  <c r="H157" i="3"/>
  <c r="C157" i="3"/>
  <c r="A157" i="3"/>
  <c r="I156" i="3"/>
  <c r="H156" i="3"/>
  <c r="C156" i="3"/>
  <c r="A156" i="3"/>
  <c r="I155" i="3"/>
  <c r="H155" i="3"/>
  <c r="C155" i="3"/>
  <c r="A155" i="3"/>
  <c r="I154" i="3"/>
  <c r="H154" i="3"/>
  <c r="C154" i="3"/>
  <c r="A154" i="3"/>
  <c r="I153" i="3"/>
  <c r="H153" i="3"/>
  <c r="C153" i="3"/>
  <c r="A153" i="3"/>
  <c r="I152" i="3"/>
  <c r="H152" i="3"/>
  <c r="C152" i="3"/>
  <c r="A152" i="3"/>
  <c r="I151" i="3"/>
  <c r="H151" i="3"/>
  <c r="C151" i="3"/>
  <c r="A151" i="3"/>
  <c r="I150" i="3"/>
  <c r="H150" i="3"/>
  <c r="C150" i="3"/>
  <c r="A150" i="3"/>
  <c r="I149" i="3"/>
  <c r="H149" i="3"/>
  <c r="C149" i="3"/>
  <c r="A149" i="3"/>
  <c r="I148" i="3"/>
  <c r="H148" i="3"/>
  <c r="C148" i="3"/>
  <c r="A148" i="3"/>
  <c r="I147" i="3"/>
  <c r="H147" i="3"/>
  <c r="C147" i="3"/>
  <c r="A147" i="3"/>
  <c r="I146" i="3"/>
  <c r="H146" i="3"/>
  <c r="C146" i="3"/>
  <c r="A146" i="3"/>
  <c r="I145" i="3"/>
  <c r="H145" i="3"/>
  <c r="C145" i="3"/>
  <c r="A145" i="3"/>
  <c r="I144" i="3"/>
  <c r="H144" i="3"/>
  <c r="C144" i="3"/>
  <c r="A144" i="3"/>
  <c r="I143" i="3"/>
  <c r="H143" i="3"/>
  <c r="C143" i="3"/>
  <c r="A143" i="3"/>
  <c r="I142" i="3"/>
  <c r="H142" i="3"/>
  <c r="C142" i="3"/>
  <c r="A142" i="3"/>
  <c r="I141" i="3"/>
  <c r="H141" i="3"/>
  <c r="C141" i="3"/>
  <c r="A141" i="3"/>
  <c r="I140" i="3"/>
  <c r="H140" i="3"/>
  <c r="C140" i="3"/>
  <c r="A140" i="3"/>
  <c r="I139" i="3"/>
  <c r="H139" i="3"/>
  <c r="C139" i="3"/>
  <c r="A139" i="3"/>
  <c r="I138" i="3"/>
  <c r="H138" i="3"/>
  <c r="C138" i="3"/>
  <c r="A138" i="3"/>
  <c r="I137" i="3"/>
  <c r="H137" i="3"/>
  <c r="C137" i="3"/>
  <c r="A137" i="3"/>
  <c r="I136" i="3"/>
  <c r="H136" i="3"/>
  <c r="C136" i="3"/>
  <c r="A136" i="3"/>
  <c r="I135" i="3"/>
  <c r="H135" i="3"/>
  <c r="C135" i="3"/>
  <c r="A135" i="3"/>
  <c r="I134" i="3"/>
  <c r="H134" i="3"/>
  <c r="C134" i="3"/>
  <c r="A134" i="3"/>
  <c r="I133" i="3"/>
  <c r="H133" i="3"/>
  <c r="C133" i="3"/>
  <c r="A133" i="3"/>
  <c r="I132" i="3"/>
  <c r="H132" i="3"/>
  <c r="C132" i="3"/>
  <c r="A132" i="3"/>
  <c r="I131" i="3"/>
  <c r="H131" i="3"/>
  <c r="C131" i="3"/>
  <c r="A131" i="3"/>
  <c r="I130" i="3"/>
  <c r="H130" i="3"/>
  <c r="C130" i="3"/>
  <c r="A130" i="3"/>
  <c r="I129" i="3"/>
  <c r="H129" i="3"/>
  <c r="C129" i="3"/>
  <c r="A129" i="3"/>
  <c r="I128" i="3"/>
  <c r="H128" i="3"/>
  <c r="C128" i="3"/>
  <c r="A128" i="3"/>
  <c r="I127" i="3"/>
  <c r="H127" i="3"/>
  <c r="C127" i="3"/>
  <c r="A127" i="3"/>
  <c r="I126" i="3"/>
  <c r="H126" i="3"/>
  <c r="C126" i="3"/>
  <c r="A126" i="3"/>
  <c r="I125" i="3"/>
  <c r="H125" i="3"/>
  <c r="C125" i="3"/>
  <c r="A125" i="3"/>
  <c r="I124" i="3"/>
  <c r="H124" i="3"/>
  <c r="C124" i="3"/>
  <c r="A124" i="3"/>
  <c r="I123" i="3"/>
  <c r="H123" i="3"/>
  <c r="C123" i="3"/>
  <c r="A123" i="3"/>
  <c r="I122" i="3"/>
  <c r="H122" i="3"/>
  <c r="C122" i="3"/>
  <c r="A122" i="3"/>
  <c r="I121" i="3"/>
  <c r="H121" i="3"/>
  <c r="C121" i="3"/>
  <c r="A121" i="3"/>
  <c r="I120" i="3"/>
  <c r="H120" i="3"/>
  <c r="C120" i="3"/>
  <c r="A120" i="3"/>
  <c r="I119" i="3"/>
  <c r="H119" i="3"/>
  <c r="C119" i="3"/>
  <c r="A119" i="3"/>
  <c r="I118" i="3"/>
  <c r="H118" i="3"/>
  <c r="C118" i="3"/>
  <c r="A118" i="3"/>
  <c r="I117" i="3"/>
  <c r="H117" i="3"/>
  <c r="C117" i="3"/>
  <c r="A117" i="3"/>
  <c r="I116" i="3"/>
  <c r="H116" i="3"/>
  <c r="C116" i="3"/>
  <c r="A116" i="3"/>
  <c r="I115" i="3"/>
  <c r="H115" i="3"/>
  <c r="C115" i="3"/>
  <c r="A115" i="3"/>
  <c r="I114" i="3"/>
  <c r="H114" i="3"/>
  <c r="C114" i="3"/>
  <c r="A114" i="3"/>
  <c r="I113" i="3"/>
  <c r="H113" i="3"/>
  <c r="C113" i="3"/>
  <c r="A113" i="3"/>
  <c r="I112" i="3"/>
  <c r="H112" i="3"/>
  <c r="C112" i="3"/>
  <c r="A112" i="3"/>
  <c r="I111" i="3"/>
  <c r="H111" i="3"/>
  <c r="C111" i="3"/>
  <c r="A111" i="3"/>
  <c r="I110" i="3"/>
  <c r="H110" i="3"/>
  <c r="C110" i="3"/>
  <c r="A110" i="3"/>
  <c r="I109" i="3"/>
  <c r="H109" i="3"/>
  <c r="C109" i="3"/>
  <c r="A109" i="3"/>
  <c r="I108" i="3"/>
  <c r="H108" i="3"/>
  <c r="C108" i="3"/>
  <c r="A108" i="3"/>
  <c r="I107" i="3"/>
  <c r="H107" i="3"/>
  <c r="C107" i="3"/>
  <c r="A107" i="3"/>
  <c r="I106" i="3"/>
  <c r="H106" i="3"/>
  <c r="C106" i="3"/>
  <c r="A106" i="3"/>
  <c r="I105" i="3"/>
  <c r="H105" i="3"/>
  <c r="C105" i="3"/>
  <c r="A105" i="3"/>
  <c r="I104" i="3"/>
  <c r="H104" i="3"/>
  <c r="C104" i="3"/>
  <c r="A104" i="3"/>
  <c r="I103" i="3"/>
  <c r="H103" i="3"/>
  <c r="C103" i="3"/>
  <c r="A103" i="3"/>
  <c r="I102" i="3"/>
  <c r="H102" i="3"/>
  <c r="C102" i="3"/>
  <c r="A102" i="3"/>
  <c r="I101" i="3"/>
  <c r="H101" i="3"/>
  <c r="C101" i="3"/>
  <c r="A101" i="3"/>
  <c r="I100" i="3"/>
  <c r="H100" i="3"/>
  <c r="C100" i="3"/>
  <c r="A100" i="3"/>
  <c r="I99" i="3"/>
  <c r="H99" i="3"/>
  <c r="C99" i="3"/>
  <c r="A99" i="3"/>
  <c r="I98" i="3"/>
  <c r="H98" i="3"/>
  <c r="C98" i="3"/>
  <c r="A98" i="3"/>
  <c r="I97" i="3"/>
  <c r="H97" i="3"/>
  <c r="C97" i="3"/>
  <c r="A97" i="3"/>
  <c r="I96" i="3"/>
  <c r="H96" i="3"/>
  <c r="C96" i="3"/>
  <c r="A96" i="3"/>
  <c r="I95" i="3"/>
  <c r="H95" i="3"/>
  <c r="C95" i="3"/>
  <c r="A95" i="3"/>
  <c r="I94" i="3"/>
  <c r="H94" i="3"/>
  <c r="C94" i="3"/>
  <c r="A94" i="3"/>
  <c r="I93" i="3"/>
  <c r="H93" i="3"/>
  <c r="C93" i="3"/>
  <c r="A93" i="3"/>
  <c r="I92" i="3"/>
  <c r="H92" i="3"/>
  <c r="C92" i="3"/>
  <c r="A92" i="3"/>
  <c r="I91" i="3"/>
  <c r="H91" i="3"/>
  <c r="C91" i="3"/>
  <c r="A91" i="3"/>
  <c r="I90" i="3"/>
  <c r="H90" i="3"/>
  <c r="C90" i="3"/>
  <c r="A90" i="3"/>
  <c r="I89" i="3"/>
  <c r="H89" i="3"/>
  <c r="C89" i="3"/>
  <c r="A89" i="3"/>
  <c r="I88" i="3"/>
  <c r="H88" i="3"/>
  <c r="C88" i="3"/>
  <c r="A88" i="3"/>
  <c r="I87" i="3"/>
  <c r="H87" i="3"/>
  <c r="C87" i="3"/>
  <c r="A87" i="3"/>
  <c r="I86" i="3"/>
  <c r="H86" i="3"/>
  <c r="C86" i="3"/>
  <c r="A86" i="3"/>
  <c r="I85" i="3"/>
  <c r="H85" i="3"/>
  <c r="C85" i="3"/>
  <c r="A85" i="3"/>
  <c r="I84" i="3"/>
  <c r="H84" i="3"/>
  <c r="C84" i="3"/>
  <c r="A84" i="3"/>
  <c r="I83" i="3"/>
  <c r="H83" i="3"/>
  <c r="C83" i="3"/>
  <c r="A83" i="3"/>
  <c r="I82" i="3"/>
  <c r="H82" i="3"/>
  <c r="C82" i="3"/>
  <c r="A82" i="3"/>
  <c r="I81" i="3"/>
  <c r="H81" i="3"/>
  <c r="C81" i="3"/>
  <c r="A81" i="3"/>
  <c r="I80" i="3"/>
  <c r="H80" i="3"/>
  <c r="C80" i="3"/>
  <c r="A80" i="3"/>
  <c r="I79" i="3"/>
  <c r="H79" i="3"/>
  <c r="C79" i="3"/>
  <c r="A79" i="3"/>
  <c r="I78" i="3"/>
  <c r="H78" i="3"/>
  <c r="C78" i="3"/>
  <c r="A78" i="3"/>
  <c r="I77" i="3"/>
  <c r="H77" i="3"/>
  <c r="C77" i="3"/>
  <c r="A77" i="3"/>
  <c r="I76" i="3"/>
  <c r="H76" i="3"/>
  <c r="C76" i="3"/>
  <c r="A76" i="3"/>
  <c r="I75" i="3"/>
  <c r="H75" i="3"/>
  <c r="C75" i="3"/>
  <c r="A75" i="3"/>
  <c r="I74" i="3"/>
  <c r="H74" i="3"/>
  <c r="C74" i="3"/>
  <c r="A74" i="3"/>
  <c r="I73" i="3"/>
  <c r="H73" i="3"/>
  <c r="C73" i="3"/>
  <c r="A73" i="3"/>
  <c r="I72" i="3"/>
  <c r="H72" i="3"/>
  <c r="C72" i="3"/>
  <c r="A72" i="3"/>
  <c r="I71" i="3"/>
  <c r="H71" i="3"/>
  <c r="C71" i="3"/>
  <c r="A71" i="3"/>
  <c r="I70" i="3"/>
  <c r="H70" i="3"/>
  <c r="C70" i="3"/>
  <c r="A70" i="3"/>
  <c r="I69" i="3"/>
  <c r="H69" i="3"/>
  <c r="C69" i="3"/>
  <c r="A69" i="3"/>
  <c r="I68" i="3"/>
  <c r="H68" i="3"/>
  <c r="C68" i="3"/>
  <c r="A68" i="3"/>
  <c r="I67" i="3"/>
  <c r="H67" i="3"/>
  <c r="C67" i="3"/>
  <c r="A67" i="3"/>
  <c r="I66" i="3"/>
  <c r="H66" i="3"/>
  <c r="C66" i="3"/>
  <c r="A66" i="3"/>
  <c r="I65" i="3"/>
  <c r="H65" i="3"/>
  <c r="C65" i="3"/>
  <c r="A65" i="3"/>
  <c r="I64" i="3"/>
  <c r="H64" i="3"/>
  <c r="C64" i="3"/>
  <c r="A64" i="3"/>
  <c r="I63" i="3"/>
  <c r="H63" i="3"/>
  <c r="C63" i="3"/>
  <c r="A63" i="3"/>
  <c r="I62" i="3"/>
  <c r="H62" i="3"/>
  <c r="C62" i="3"/>
  <c r="A62" i="3"/>
  <c r="I61" i="3"/>
  <c r="H61" i="3"/>
  <c r="C61" i="3"/>
  <c r="A61" i="3"/>
  <c r="I60" i="3"/>
  <c r="H60" i="3"/>
  <c r="C60" i="3"/>
  <c r="A60" i="3"/>
  <c r="I59" i="3"/>
  <c r="H59" i="3"/>
  <c r="C59" i="3"/>
  <c r="A59" i="3"/>
  <c r="I58" i="3"/>
  <c r="H58" i="3"/>
  <c r="C58" i="3"/>
  <c r="A58" i="3"/>
  <c r="I57" i="3"/>
  <c r="H57" i="3"/>
  <c r="C57" i="3"/>
  <c r="A57" i="3"/>
  <c r="I56" i="3"/>
  <c r="H56" i="3"/>
  <c r="C56" i="3"/>
  <c r="A56" i="3"/>
  <c r="I55" i="3"/>
  <c r="H55" i="3"/>
  <c r="C55" i="3"/>
  <c r="A55" i="3"/>
  <c r="I54" i="3"/>
  <c r="H54" i="3"/>
  <c r="C54" i="3"/>
  <c r="A54" i="3"/>
  <c r="I53" i="3"/>
  <c r="H53" i="3"/>
  <c r="C53" i="3"/>
  <c r="A53" i="3"/>
  <c r="I52" i="3"/>
  <c r="H52" i="3"/>
  <c r="C52" i="3"/>
  <c r="A52" i="3"/>
  <c r="I51" i="3"/>
  <c r="H51" i="3"/>
  <c r="C51" i="3"/>
  <c r="A51" i="3"/>
  <c r="I50" i="3"/>
  <c r="H50" i="3"/>
  <c r="C50" i="3"/>
  <c r="A50" i="3"/>
  <c r="I49" i="3"/>
  <c r="H49" i="3"/>
  <c r="C49" i="3"/>
  <c r="A49" i="3"/>
  <c r="I48" i="3"/>
  <c r="H48" i="3"/>
  <c r="C48" i="3"/>
  <c r="A48" i="3"/>
  <c r="I47" i="3"/>
  <c r="H47" i="3"/>
  <c r="C47" i="3"/>
  <c r="A47" i="3"/>
  <c r="I46" i="3"/>
  <c r="H46" i="3"/>
  <c r="C46" i="3"/>
  <c r="A46" i="3"/>
  <c r="I45" i="3"/>
  <c r="H45" i="3"/>
  <c r="C45" i="3"/>
  <c r="A45" i="3"/>
  <c r="I44" i="3"/>
  <c r="H44" i="3"/>
  <c r="C44" i="3"/>
  <c r="A44" i="3"/>
  <c r="I43" i="3"/>
  <c r="H43" i="3"/>
  <c r="C43" i="3"/>
  <c r="A43" i="3"/>
  <c r="I42" i="3"/>
  <c r="H42" i="3"/>
  <c r="C42" i="3"/>
  <c r="A42" i="3"/>
  <c r="I41" i="3"/>
  <c r="H41" i="3"/>
  <c r="C41" i="3"/>
  <c r="A41" i="3"/>
  <c r="I40" i="3"/>
  <c r="H40" i="3"/>
  <c r="C40" i="3"/>
  <c r="A40" i="3"/>
  <c r="I39" i="3"/>
  <c r="H39" i="3"/>
  <c r="C39" i="3"/>
  <c r="A39" i="3"/>
  <c r="I38" i="3"/>
  <c r="H38" i="3"/>
  <c r="C38" i="3"/>
  <c r="A38" i="3"/>
  <c r="I37" i="3"/>
  <c r="H37" i="3"/>
  <c r="C37" i="3"/>
  <c r="A37" i="3"/>
  <c r="I36" i="3"/>
  <c r="H36" i="3"/>
  <c r="C36" i="3"/>
  <c r="A36" i="3"/>
  <c r="I35" i="3"/>
  <c r="H35" i="3"/>
  <c r="C35" i="3"/>
  <c r="A35" i="3"/>
  <c r="I34" i="3"/>
  <c r="H34" i="3"/>
  <c r="C34" i="3"/>
  <c r="A34" i="3"/>
  <c r="I33" i="3"/>
  <c r="H33" i="3"/>
  <c r="C33" i="3"/>
  <c r="A33" i="3"/>
  <c r="I32" i="3"/>
  <c r="H32" i="3"/>
  <c r="C32" i="3"/>
  <c r="A32" i="3"/>
  <c r="I31" i="3"/>
  <c r="H31" i="3"/>
  <c r="C31" i="3"/>
  <c r="A31" i="3"/>
  <c r="I30" i="3"/>
  <c r="H30" i="3"/>
  <c r="C30" i="3"/>
  <c r="A30" i="3"/>
  <c r="I29" i="3"/>
  <c r="H29" i="3"/>
  <c r="C29" i="3"/>
  <c r="A29" i="3"/>
  <c r="I28" i="3"/>
  <c r="H28" i="3"/>
  <c r="C28" i="3"/>
  <c r="A28" i="3"/>
  <c r="I27" i="3"/>
  <c r="H27" i="3"/>
  <c r="C27" i="3"/>
  <c r="A27" i="3"/>
  <c r="I26" i="3"/>
  <c r="H26" i="3"/>
  <c r="C26" i="3"/>
  <c r="A26" i="3"/>
  <c r="I25" i="3"/>
  <c r="H25" i="3"/>
  <c r="C25" i="3"/>
  <c r="A25" i="3"/>
  <c r="I24" i="3"/>
  <c r="H24" i="3"/>
  <c r="C24" i="3"/>
  <c r="A24" i="3"/>
  <c r="I23" i="3"/>
  <c r="H23" i="3"/>
  <c r="C23" i="3"/>
  <c r="A23" i="3"/>
  <c r="I22" i="3"/>
  <c r="H22" i="3"/>
  <c r="C22" i="3"/>
  <c r="A22" i="3"/>
  <c r="I21" i="3"/>
  <c r="H21" i="3"/>
  <c r="C21" i="3"/>
  <c r="A21" i="3"/>
  <c r="I20" i="3"/>
  <c r="H20" i="3"/>
  <c r="C20" i="3"/>
  <c r="A20" i="3"/>
  <c r="I19" i="3"/>
  <c r="H19" i="3"/>
  <c r="C19" i="3"/>
  <c r="A19" i="3"/>
  <c r="I18" i="3"/>
  <c r="H18" i="3"/>
  <c r="C18" i="3"/>
  <c r="A18" i="3"/>
  <c r="I17" i="3"/>
  <c r="H17" i="3"/>
  <c r="C17" i="3"/>
  <c r="A17" i="3"/>
  <c r="I16" i="3"/>
  <c r="H16" i="3"/>
  <c r="C16" i="3"/>
  <c r="A16" i="3"/>
  <c r="I15" i="3"/>
  <c r="H15" i="3"/>
  <c r="C15" i="3"/>
  <c r="A15" i="3"/>
  <c r="I14" i="3"/>
  <c r="H14" i="3"/>
  <c r="C14" i="3"/>
  <c r="A14" i="3"/>
  <c r="I13" i="3"/>
  <c r="H13" i="3"/>
  <c r="C13" i="3"/>
  <c r="A13" i="3"/>
  <c r="I12" i="3"/>
  <c r="H12" i="3"/>
  <c r="C12" i="3"/>
  <c r="A12" i="3"/>
  <c r="I11" i="3"/>
  <c r="H11" i="3"/>
  <c r="C11" i="3"/>
  <c r="A11" i="3"/>
  <c r="I10" i="3"/>
  <c r="H10" i="3"/>
  <c r="C10" i="3"/>
  <c r="A10" i="3"/>
  <c r="I9" i="3"/>
  <c r="H9" i="3"/>
  <c r="C9" i="3"/>
  <c r="A9" i="3"/>
  <c r="I8" i="3"/>
  <c r="H8" i="3"/>
  <c r="C8" i="3"/>
  <c r="A8" i="3"/>
  <c r="I7" i="3"/>
  <c r="H7" i="3"/>
  <c r="C7" i="3"/>
  <c r="A7" i="3"/>
  <c r="I6" i="3"/>
  <c r="H6" i="3"/>
  <c r="C6" i="3"/>
  <c r="A6" i="3"/>
  <c r="I5" i="3"/>
  <c r="H5" i="3"/>
  <c r="C5" i="3"/>
  <c r="A5" i="3"/>
  <c r="I4" i="3"/>
  <c r="H4" i="3"/>
  <c r="C4" i="3"/>
  <c r="A4" i="3"/>
  <c r="A3" i="3"/>
  <c r="A2" i="3"/>
  <c r="O501" i="2"/>
  <c r="K501" i="2"/>
  <c r="A501" i="2"/>
  <c r="O500" i="2"/>
  <c r="K500" i="2"/>
  <c r="A500" i="2"/>
  <c r="O499" i="2"/>
  <c r="K499" i="2"/>
  <c r="A499" i="2"/>
  <c r="O498" i="2"/>
  <c r="K498" i="2"/>
  <c r="A498" i="2"/>
  <c r="O497" i="2"/>
  <c r="K497" i="2"/>
  <c r="A497" i="2"/>
  <c r="O496" i="2"/>
  <c r="K496" i="2"/>
  <c r="A496" i="2"/>
  <c r="O495" i="2"/>
  <c r="K495" i="2"/>
  <c r="A495" i="2"/>
  <c r="O494" i="2"/>
  <c r="K494" i="2"/>
  <c r="A494" i="2"/>
  <c r="O493" i="2"/>
  <c r="K493" i="2"/>
  <c r="A493" i="2"/>
  <c r="O492" i="2"/>
  <c r="K492" i="2"/>
  <c r="A492" i="2"/>
  <c r="O491" i="2"/>
  <c r="K491" i="2"/>
  <c r="A491" i="2"/>
  <c r="O490" i="2"/>
  <c r="K490" i="2"/>
  <c r="A490" i="2"/>
  <c r="O489" i="2"/>
  <c r="K489" i="2"/>
  <c r="A489" i="2"/>
  <c r="O488" i="2"/>
  <c r="K488" i="2"/>
  <c r="A488" i="2"/>
  <c r="O487" i="2"/>
  <c r="K487" i="2"/>
  <c r="A487" i="2"/>
  <c r="O486" i="2"/>
  <c r="K486" i="2"/>
  <c r="A486" i="2"/>
  <c r="O485" i="2"/>
  <c r="K485" i="2"/>
  <c r="A485" i="2"/>
  <c r="O484" i="2"/>
  <c r="K484" i="2"/>
  <c r="A484" i="2"/>
  <c r="O483" i="2"/>
  <c r="K483" i="2"/>
  <c r="A483" i="2"/>
  <c r="O482" i="2"/>
  <c r="K482" i="2"/>
  <c r="A482" i="2"/>
  <c r="O481" i="2"/>
  <c r="K481" i="2"/>
  <c r="A481" i="2"/>
  <c r="O480" i="2"/>
  <c r="K480" i="2"/>
  <c r="A480" i="2"/>
  <c r="O479" i="2"/>
  <c r="K479" i="2"/>
  <c r="A479" i="2"/>
  <c r="O478" i="2"/>
  <c r="K478" i="2"/>
  <c r="A478" i="2"/>
  <c r="O477" i="2"/>
  <c r="K477" i="2"/>
  <c r="A477" i="2"/>
  <c r="O476" i="2"/>
  <c r="K476" i="2"/>
  <c r="A476" i="2"/>
  <c r="O475" i="2"/>
  <c r="K475" i="2"/>
  <c r="A475" i="2"/>
  <c r="O474" i="2"/>
  <c r="K474" i="2"/>
  <c r="A474" i="2"/>
  <c r="O473" i="2"/>
  <c r="K473" i="2"/>
  <c r="A473" i="2"/>
  <c r="O472" i="2"/>
  <c r="K472" i="2"/>
  <c r="A472" i="2"/>
  <c r="O471" i="2"/>
  <c r="K471" i="2"/>
  <c r="A471" i="2"/>
  <c r="O470" i="2"/>
  <c r="K470" i="2"/>
  <c r="A470" i="2"/>
  <c r="O469" i="2"/>
  <c r="K469" i="2"/>
  <c r="A469" i="2"/>
  <c r="O468" i="2"/>
  <c r="K468" i="2"/>
  <c r="A468" i="2"/>
  <c r="O467" i="2"/>
  <c r="K467" i="2"/>
  <c r="A467" i="2"/>
  <c r="O466" i="2"/>
  <c r="K466" i="2"/>
  <c r="A466" i="2"/>
  <c r="O465" i="2"/>
  <c r="K465" i="2"/>
  <c r="A465" i="2"/>
  <c r="O464" i="2"/>
  <c r="K464" i="2"/>
  <c r="A464" i="2"/>
  <c r="O463" i="2"/>
  <c r="K463" i="2"/>
  <c r="A463" i="2"/>
  <c r="O462" i="2"/>
  <c r="K462" i="2"/>
  <c r="A462" i="2"/>
  <c r="O461" i="2"/>
  <c r="K461" i="2"/>
  <c r="A461" i="2"/>
  <c r="O460" i="2"/>
  <c r="K460" i="2"/>
  <c r="A460" i="2"/>
  <c r="O459" i="2"/>
  <c r="K459" i="2"/>
  <c r="A459" i="2"/>
  <c r="O458" i="2"/>
  <c r="K458" i="2"/>
  <c r="A458" i="2"/>
  <c r="O457" i="2"/>
  <c r="K457" i="2"/>
  <c r="A457" i="2"/>
  <c r="O456" i="2"/>
  <c r="K456" i="2"/>
  <c r="A456" i="2"/>
  <c r="O455" i="2"/>
  <c r="K455" i="2"/>
  <c r="A455" i="2"/>
  <c r="O454" i="2"/>
  <c r="K454" i="2"/>
  <c r="A454" i="2"/>
  <c r="O453" i="2"/>
  <c r="K453" i="2"/>
  <c r="A453" i="2"/>
  <c r="O452" i="2"/>
  <c r="K452" i="2"/>
  <c r="A452" i="2"/>
  <c r="O451" i="2"/>
  <c r="K451" i="2"/>
  <c r="A451" i="2"/>
  <c r="O450" i="2"/>
  <c r="K450" i="2"/>
  <c r="A450" i="2"/>
  <c r="O449" i="2"/>
  <c r="K449" i="2"/>
  <c r="A449" i="2"/>
  <c r="O448" i="2"/>
  <c r="K448" i="2"/>
  <c r="A448" i="2"/>
  <c r="O447" i="2"/>
  <c r="K447" i="2"/>
  <c r="A447" i="2"/>
  <c r="O446" i="2"/>
  <c r="K446" i="2"/>
  <c r="A446" i="2"/>
  <c r="O445" i="2"/>
  <c r="K445" i="2"/>
  <c r="A445" i="2"/>
  <c r="O444" i="2"/>
  <c r="K444" i="2"/>
  <c r="A444" i="2"/>
  <c r="O443" i="2"/>
  <c r="K443" i="2"/>
  <c r="A443" i="2"/>
  <c r="O442" i="2"/>
  <c r="K442" i="2"/>
  <c r="A442" i="2"/>
  <c r="O441" i="2"/>
  <c r="K441" i="2"/>
  <c r="A441" i="2"/>
  <c r="O440" i="2"/>
  <c r="K440" i="2"/>
  <c r="A440" i="2"/>
  <c r="O439" i="2"/>
  <c r="K439" i="2"/>
  <c r="A439" i="2"/>
  <c r="O438" i="2"/>
  <c r="K438" i="2"/>
  <c r="A438" i="2"/>
  <c r="O437" i="2"/>
  <c r="K437" i="2"/>
  <c r="A437" i="2"/>
  <c r="O436" i="2"/>
  <c r="K436" i="2"/>
  <c r="A436" i="2"/>
  <c r="O435" i="2"/>
  <c r="K435" i="2"/>
  <c r="A435" i="2"/>
  <c r="O434" i="2"/>
  <c r="K434" i="2"/>
  <c r="A434" i="2"/>
  <c r="O433" i="2"/>
  <c r="K433" i="2"/>
  <c r="A433" i="2"/>
  <c r="O432" i="2"/>
  <c r="K432" i="2"/>
  <c r="A432" i="2"/>
  <c r="O431" i="2"/>
  <c r="K431" i="2"/>
  <c r="A431" i="2"/>
  <c r="O430" i="2"/>
  <c r="K430" i="2"/>
  <c r="A430" i="2"/>
  <c r="O429" i="2"/>
  <c r="K429" i="2"/>
  <c r="A429" i="2"/>
  <c r="O428" i="2"/>
  <c r="K428" i="2"/>
  <c r="A428" i="2"/>
  <c r="O427" i="2"/>
  <c r="K427" i="2"/>
  <c r="A427" i="2"/>
  <c r="O426" i="2"/>
  <c r="K426" i="2"/>
  <c r="A426" i="2"/>
  <c r="O425" i="2"/>
  <c r="K425" i="2"/>
  <c r="A425" i="2"/>
  <c r="O424" i="2"/>
  <c r="K424" i="2"/>
  <c r="A424" i="2"/>
  <c r="O423" i="2"/>
  <c r="K423" i="2"/>
  <c r="A423" i="2"/>
  <c r="O422" i="2"/>
  <c r="K422" i="2"/>
  <c r="A422" i="2"/>
  <c r="O421" i="2"/>
  <c r="K421" i="2"/>
  <c r="A421" i="2"/>
  <c r="O420" i="2"/>
  <c r="K420" i="2"/>
  <c r="A420" i="2"/>
  <c r="O419" i="2"/>
  <c r="K419" i="2"/>
  <c r="A419" i="2"/>
  <c r="O418" i="2"/>
  <c r="K418" i="2"/>
  <c r="A418" i="2"/>
  <c r="O417" i="2"/>
  <c r="K417" i="2"/>
  <c r="A417" i="2"/>
  <c r="O416" i="2"/>
  <c r="K416" i="2"/>
  <c r="A416" i="2"/>
  <c r="O415" i="2"/>
  <c r="K415" i="2"/>
  <c r="A415" i="2"/>
  <c r="O414" i="2"/>
  <c r="K414" i="2"/>
  <c r="A414" i="2"/>
  <c r="O413" i="2"/>
  <c r="K413" i="2"/>
  <c r="A413" i="2"/>
  <c r="O412" i="2"/>
  <c r="K412" i="2"/>
  <c r="A412" i="2"/>
  <c r="O411" i="2"/>
  <c r="K411" i="2"/>
  <c r="A411" i="2"/>
  <c r="O410" i="2"/>
  <c r="K410" i="2"/>
  <c r="A410" i="2"/>
  <c r="O409" i="2"/>
  <c r="K409" i="2"/>
  <c r="A409" i="2"/>
  <c r="O408" i="2"/>
  <c r="K408" i="2"/>
  <c r="A408" i="2"/>
  <c r="O407" i="2"/>
  <c r="K407" i="2"/>
  <c r="A407" i="2"/>
  <c r="O406" i="2"/>
  <c r="K406" i="2"/>
  <c r="A406" i="2"/>
  <c r="O405" i="2"/>
  <c r="K405" i="2"/>
  <c r="A405" i="2"/>
  <c r="O404" i="2"/>
  <c r="K404" i="2"/>
  <c r="A404" i="2"/>
  <c r="O403" i="2"/>
  <c r="K403" i="2"/>
  <c r="A403" i="2"/>
  <c r="O402" i="2"/>
  <c r="K402" i="2"/>
  <c r="A402" i="2"/>
  <c r="O401" i="2"/>
  <c r="K401" i="2"/>
  <c r="A401" i="2"/>
  <c r="O400" i="2"/>
  <c r="K400" i="2"/>
  <c r="A400" i="2"/>
  <c r="O399" i="2"/>
  <c r="K399" i="2"/>
  <c r="A399" i="2"/>
  <c r="O398" i="2"/>
  <c r="K398" i="2"/>
  <c r="A398" i="2"/>
  <c r="O397" i="2"/>
  <c r="K397" i="2"/>
  <c r="A397" i="2"/>
  <c r="O396" i="2"/>
  <c r="K396" i="2"/>
  <c r="A396" i="2"/>
  <c r="O395" i="2"/>
  <c r="K395" i="2"/>
  <c r="A395" i="2"/>
  <c r="O394" i="2"/>
  <c r="K394" i="2"/>
  <c r="A394" i="2"/>
  <c r="O393" i="2"/>
  <c r="K393" i="2"/>
  <c r="A393" i="2"/>
  <c r="O392" i="2"/>
  <c r="K392" i="2"/>
  <c r="A392" i="2"/>
  <c r="O391" i="2"/>
  <c r="K391" i="2"/>
  <c r="A391" i="2"/>
  <c r="O390" i="2"/>
  <c r="K390" i="2"/>
  <c r="A390" i="2"/>
  <c r="O389" i="2"/>
  <c r="K389" i="2"/>
  <c r="A389" i="2"/>
  <c r="O388" i="2"/>
  <c r="K388" i="2"/>
  <c r="A388" i="2"/>
  <c r="O387" i="2"/>
  <c r="K387" i="2"/>
  <c r="A387" i="2"/>
  <c r="O386" i="2"/>
  <c r="K386" i="2"/>
  <c r="A386" i="2"/>
  <c r="O385" i="2"/>
  <c r="K385" i="2"/>
  <c r="A385" i="2"/>
  <c r="O384" i="2"/>
  <c r="K384" i="2"/>
  <c r="A384" i="2"/>
  <c r="O383" i="2"/>
  <c r="K383" i="2"/>
  <c r="A383" i="2"/>
  <c r="O382" i="2"/>
  <c r="K382" i="2"/>
  <c r="A382" i="2"/>
  <c r="O381" i="2"/>
  <c r="K381" i="2"/>
  <c r="A381" i="2"/>
  <c r="O380" i="2"/>
  <c r="K380" i="2"/>
  <c r="A380" i="2"/>
  <c r="O379" i="2"/>
  <c r="K379" i="2"/>
  <c r="A379" i="2"/>
  <c r="O378" i="2"/>
  <c r="K378" i="2"/>
  <c r="A378" i="2"/>
  <c r="O377" i="2"/>
  <c r="K377" i="2"/>
  <c r="A377" i="2"/>
  <c r="O376" i="2"/>
  <c r="K376" i="2"/>
  <c r="A376" i="2"/>
  <c r="O375" i="2"/>
  <c r="K375" i="2"/>
  <c r="A375" i="2"/>
  <c r="O374" i="2"/>
  <c r="K374" i="2"/>
  <c r="A374" i="2"/>
  <c r="O373" i="2"/>
  <c r="K373" i="2"/>
  <c r="A373" i="2"/>
  <c r="O372" i="2"/>
  <c r="K372" i="2"/>
  <c r="A372" i="2"/>
  <c r="O371" i="2"/>
  <c r="K371" i="2"/>
  <c r="A371" i="2"/>
  <c r="O370" i="2"/>
  <c r="K370" i="2"/>
  <c r="A370" i="2"/>
  <c r="O369" i="2"/>
  <c r="K369" i="2"/>
  <c r="A369" i="2"/>
  <c r="O368" i="2"/>
  <c r="K368" i="2"/>
  <c r="A368" i="2"/>
  <c r="O367" i="2"/>
  <c r="K367" i="2"/>
  <c r="A367" i="2"/>
  <c r="O366" i="2"/>
  <c r="K366" i="2"/>
  <c r="A366" i="2"/>
  <c r="O365" i="2"/>
  <c r="K365" i="2"/>
  <c r="A365" i="2"/>
  <c r="O364" i="2"/>
  <c r="K364" i="2"/>
  <c r="A364" i="2"/>
  <c r="O363" i="2"/>
  <c r="K363" i="2"/>
  <c r="A363" i="2"/>
  <c r="O362" i="2"/>
  <c r="K362" i="2"/>
  <c r="A362" i="2"/>
  <c r="O361" i="2"/>
  <c r="K361" i="2"/>
  <c r="A361" i="2"/>
  <c r="O360" i="2"/>
  <c r="K360" i="2"/>
  <c r="A360" i="2"/>
  <c r="O359" i="2"/>
  <c r="K359" i="2"/>
  <c r="A359" i="2"/>
  <c r="O358" i="2"/>
  <c r="K358" i="2"/>
  <c r="A358" i="2"/>
  <c r="O357" i="2"/>
  <c r="K357" i="2"/>
  <c r="A357" i="2"/>
  <c r="O356" i="2"/>
  <c r="K356" i="2"/>
  <c r="A356" i="2"/>
  <c r="O355" i="2"/>
  <c r="K355" i="2"/>
  <c r="A355" i="2"/>
  <c r="O354" i="2"/>
  <c r="K354" i="2"/>
  <c r="A354" i="2"/>
  <c r="O353" i="2"/>
  <c r="K353" i="2"/>
  <c r="A353" i="2"/>
  <c r="O352" i="2"/>
  <c r="K352" i="2"/>
  <c r="A352" i="2"/>
  <c r="O351" i="2"/>
  <c r="K351" i="2"/>
  <c r="A351" i="2"/>
  <c r="O350" i="2"/>
  <c r="K350" i="2"/>
  <c r="A350" i="2"/>
  <c r="O349" i="2"/>
  <c r="K349" i="2"/>
  <c r="A349" i="2"/>
  <c r="O348" i="2"/>
  <c r="K348" i="2"/>
  <c r="A348" i="2"/>
  <c r="O347" i="2"/>
  <c r="K347" i="2"/>
  <c r="A347" i="2"/>
  <c r="O346" i="2"/>
  <c r="K346" i="2"/>
  <c r="A346" i="2"/>
  <c r="O345" i="2"/>
  <c r="K345" i="2"/>
  <c r="A345" i="2"/>
  <c r="O344" i="2"/>
  <c r="K344" i="2"/>
  <c r="A344" i="2"/>
  <c r="O343" i="2"/>
  <c r="K343" i="2"/>
  <c r="A343" i="2"/>
  <c r="O342" i="2"/>
  <c r="K342" i="2"/>
  <c r="A342" i="2"/>
  <c r="O341" i="2"/>
  <c r="K341" i="2"/>
  <c r="A341" i="2"/>
  <c r="O340" i="2"/>
  <c r="K340" i="2"/>
  <c r="A340" i="2"/>
  <c r="O339" i="2"/>
  <c r="K339" i="2"/>
  <c r="A339" i="2"/>
  <c r="O338" i="2"/>
  <c r="K338" i="2"/>
  <c r="A338" i="2"/>
  <c r="O337" i="2"/>
  <c r="K337" i="2"/>
  <c r="A337" i="2"/>
  <c r="O336" i="2"/>
  <c r="K336" i="2"/>
  <c r="A336" i="2"/>
  <c r="O335" i="2"/>
  <c r="K335" i="2"/>
  <c r="A335" i="2"/>
  <c r="O334" i="2"/>
  <c r="K334" i="2"/>
  <c r="A334" i="2"/>
  <c r="O333" i="2"/>
  <c r="K333" i="2"/>
  <c r="A333" i="2"/>
  <c r="O332" i="2"/>
  <c r="K332" i="2"/>
  <c r="A332" i="2"/>
  <c r="O331" i="2"/>
  <c r="K331" i="2"/>
  <c r="A331" i="2"/>
  <c r="O330" i="2"/>
  <c r="K330" i="2"/>
  <c r="A330" i="2"/>
  <c r="O329" i="2"/>
  <c r="K329" i="2"/>
  <c r="A329" i="2"/>
  <c r="O328" i="2"/>
  <c r="K328" i="2"/>
  <c r="A328" i="2"/>
  <c r="O327" i="2"/>
  <c r="K327" i="2"/>
  <c r="A327" i="2"/>
  <c r="O326" i="2"/>
  <c r="K326" i="2"/>
  <c r="A326" i="2"/>
  <c r="O325" i="2"/>
  <c r="K325" i="2"/>
  <c r="A325" i="2"/>
  <c r="O324" i="2"/>
  <c r="K324" i="2"/>
  <c r="A324" i="2"/>
  <c r="O323" i="2"/>
  <c r="K323" i="2"/>
  <c r="A323" i="2"/>
  <c r="O322" i="2"/>
  <c r="K322" i="2"/>
  <c r="A322" i="2"/>
  <c r="O321" i="2"/>
  <c r="K321" i="2"/>
  <c r="A321" i="2"/>
  <c r="O320" i="2"/>
  <c r="K320" i="2"/>
  <c r="A320" i="2"/>
  <c r="O319" i="2"/>
  <c r="K319" i="2"/>
  <c r="A319" i="2"/>
  <c r="O318" i="2"/>
  <c r="K318" i="2"/>
  <c r="A318" i="2"/>
  <c r="O317" i="2"/>
  <c r="K317" i="2"/>
  <c r="A317" i="2"/>
  <c r="O316" i="2"/>
  <c r="K316" i="2"/>
  <c r="A316" i="2"/>
  <c r="O315" i="2"/>
  <c r="K315" i="2"/>
  <c r="A315" i="2"/>
  <c r="O314" i="2"/>
  <c r="K314" i="2"/>
  <c r="A314" i="2"/>
  <c r="O313" i="2"/>
  <c r="K313" i="2"/>
  <c r="A313" i="2"/>
  <c r="O312" i="2"/>
  <c r="K312" i="2"/>
  <c r="A312" i="2"/>
  <c r="O311" i="2"/>
  <c r="K311" i="2"/>
  <c r="A311" i="2"/>
  <c r="O310" i="2"/>
  <c r="K310" i="2"/>
  <c r="A310" i="2"/>
  <c r="O309" i="2"/>
  <c r="K309" i="2"/>
  <c r="A309" i="2"/>
  <c r="O308" i="2"/>
  <c r="K308" i="2"/>
  <c r="A308" i="2"/>
  <c r="O307" i="2"/>
  <c r="K307" i="2"/>
  <c r="A307" i="2"/>
  <c r="O306" i="2"/>
  <c r="K306" i="2"/>
  <c r="A306" i="2"/>
  <c r="O305" i="2"/>
  <c r="K305" i="2"/>
  <c r="A305" i="2"/>
  <c r="O304" i="2"/>
  <c r="K304" i="2"/>
  <c r="A304" i="2"/>
  <c r="O303" i="2"/>
  <c r="K303" i="2"/>
  <c r="A303" i="2"/>
  <c r="O302" i="2"/>
  <c r="K302" i="2"/>
  <c r="A302" i="2"/>
  <c r="O301" i="2"/>
  <c r="K301" i="2"/>
  <c r="A301" i="2"/>
  <c r="O300" i="2"/>
  <c r="K300" i="2"/>
  <c r="A300" i="2"/>
  <c r="O299" i="2"/>
  <c r="K299" i="2"/>
  <c r="A299" i="2"/>
  <c r="O298" i="2"/>
  <c r="K298" i="2"/>
  <c r="A298" i="2"/>
  <c r="O297" i="2"/>
  <c r="K297" i="2"/>
  <c r="A297" i="2"/>
  <c r="O296" i="2"/>
  <c r="K296" i="2"/>
  <c r="A296" i="2"/>
  <c r="O295" i="2"/>
  <c r="K295" i="2"/>
  <c r="A295" i="2"/>
  <c r="O294" i="2"/>
  <c r="K294" i="2"/>
  <c r="A294" i="2"/>
  <c r="O293" i="2"/>
  <c r="K293" i="2"/>
  <c r="A293" i="2"/>
  <c r="O292" i="2"/>
  <c r="K292" i="2"/>
  <c r="A292" i="2"/>
  <c r="O291" i="2"/>
  <c r="K291" i="2"/>
  <c r="A291" i="2"/>
  <c r="O290" i="2"/>
  <c r="K290" i="2"/>
  <c r="A290" i="2"/>
  <c r="O289" i="2"/>
  <c r="K289" i="2"/>
  <c r="A289" i="2"/>
  <c r="O288" i="2"/>
  <c r="K288" i="2"/>
  <c r="A288" i="2"/>
  <c r="O287" i="2"/>
  <c r="K287" i="2"/>
  <c r="A287" i="2"/>
  <c r="O286" i="2"/>
  <c r="K286" i="2"/>
  <c r="A286" i="2"/>
  <c r="O285" i="2"/>
  <c r="K285" i="2"/>
  <c r="A285" i="2"/>
  <c r="O284" i="2"/>
  <c r="K284" i="2"/>
  <c r="A284" i="2"/>
  <c r="O283" i="2"/>
  <c r="K283" i="2"/>
  <c r="A283" i="2"/>
  <c r="O282" i="2"/>
  <c r="K282" i="2"/>
  <c r="A282" i="2"/>
  <c r="O281" i="2"/>
  <c r="K281" i="2"/>
  <c r="A281" i="2"/>
  <c r="O280" i="2"/>
  <c r="K280" i="2"/>
  <c r="A280" i="2"/>
  <c r="O279" i="2"/>
  <c r="K279" i="2"/>
  <c r="A279" i="2"/>
  <c r="O278" i="2"/>
  <c r="K278" i="2"/>
  <c r="A278" i="2"/>
  <c r="O277" i="2"/>
  <c r="K277" i="2"/>
  <c r="A277" i="2"/>
  <c r="O276" i="2"/>
  <c r="K276" i="2"/>
  <c r="A276" i="2"/>
  <c r="O275" i="2"/>
  <c r="K275" i="2"/>
  <c r="A275" i="2"/>
  <c r="O274" i="2"/>
  <c r="K274" i="2"/>
  <c r="A274" i="2"/>
  <c r="O273" i="2"/>
  <c r="K273" i="2"/>
  <c r="A273" i="2"/>
  <c r="O272" i="2"/>
  <c r="K272" i="2"/>
  <c r="A272" i="2"/>
  <c r="O271" i="2"/>
  <c r="K271" i="2"/>
  <c r="A271" i="2"/>
  <c r="O270" i="2"/>
  <c r="K270" i="2"/>
  <c r="A270" i="2"/>
  <c r="O269" i="2"/>
  <c r="K269" i="2"/>
  <c r="A269" i="2"/>
  <c r="O268" i="2"/>
  <c r="K268" i="2"/>
  <c r="A268" i="2"/>
  <c r="O267" i="2"/>
  <c r="K267" i="2"/>
  <c r="A267" i="2"/>
  <c r="O266" i="2"/>
  <c r="K266" i="2"/>
  <c r="A266" i="2"/>
  <c r="O265" i="2"/>
  <c r="K265" i="2"/>
  <c r="A265" i="2"/>
  <c r="O264" i="2"/>
  <c r="K264" i="2"/>
  <c r="A264" i="2"/>
  <c r="O263" i="2"/>
  <c r="K263" i="2"/>
  <c r="A263" i="2"/>
  <c r="O262" i="2"/>
  <c r="K262" i="2"/>
  <c r="A262" i="2"/>
  <c r="O261" i="2"/>
  <c r="K261" i="2"/>
  <c r="A261" i="2"/>
  <c r="O260" i="2"/>
  <c r="K260" i="2"/>
  <c r="A260" i="2"/>
  <c r="O259" i="2"/>
  <c r="K259" i="2"/>
  <c r="A259" i="2"/>
  <c r="O258" i="2"/>
  <c r="K258" i="2"/>
  <c r="A258" i="2"/>
  <c r="O257" i="2"/>
  <c r="K257" i="2"/>
  <c r="A257" i="2"/>
  <c r="O256" i="2"/>
  <c r="K256" i="2"/>
  <c r="A256" i="2"/>
  <c r="O255" i="2"/>
  <c r="K255" i="2"/>
  <c r="A255" i="2"/>
  <c r="O254" i="2"/>
  <c r="K254" i="2"/>
  <c r="A254" i="2"/>
  <c r="O253" i="2"/>
  <c r="K253" i="2"/>
  <c r="A253" i="2"/>
  <c r="O252" i="2"/>
  <c r="K252" i="2"/>
  <c r="A252" i="2"/>
  <c r="O251" i="2"/>
  <c r="K251" i="2"/>
  <c r="A251" i="2"/>
  <c r="O250" i="2"/>
  <c r="K250" i="2"/>
  <c r="A250" i="2"/>
  <c r="O249" i="2"/>
  <c r="K249" i="2"/>
  <c r="A249" i="2"/>
  <c r="O248" i="2"/>
  <c r="K248" i="2"/>
  <c r="A248" i="2"/>
  <c r="O247" i="2"/>
  <c r="K247" i="2"/>
  <c r="A247" i="2"/>
  <c r="O246" i="2"/>
  <c r="K246" i="2"/>
  <c r="A246" i="2"/>
  <c r="O245" i="2"/>
  <c r="K245" i="2"/>
  <c r="A245" i="2"/>
  <c r="O244" i="2"/>
  <c r="K244" i="2"/>
  <c r="A244" i="2"/>
  <c r="O243" i="2"/>
  <c r="K243" i="2"/>
  <c r="A243" i="2"/>
  <c r="O242" i="2"/>
  <c r="K242" i="2"/>
  <c r="A242" i="2"/>
  <c r="O241" i="2"/>
  <c r="K241" i="2"/>
  <c r="A241" i="2"/>
  <c r="O240" i="2"/>
  <c r="K240" i="2"/>
  <c r="A240" i="2"/>
  <c r="O239" i="2"/>
  <c r="K239" i="2"/>
  <c r="A239" i="2"/>
  <c r="O238" i="2"/>
  <c r="K238" i="2"/>
  <c r="A238" i="2"/>
  <c r="O237" i="2"/>
  <c r="K237" i="2"/>
  <c r="A237" i="2"/>
  <c r="O236" i="2"/>
  <c r="K236" i="2"/>
  <c r="A236" i="2"/>
  <c r="O235" i="2"/>
  <c r="K235" i="2"/>
  <c r="A235" i="2"/>
  <c r="O234" i="2"/>
  <c r="K234" i="2"/>
  <c r="A234" i="2"/>
  <c r="O233" i="2"/>
  <c r="K233" i="2"/>
  <c r="A233" i="2"/>
  <c r="O232" i="2"/>
  <c r="K232" i="2"/>
  <c r="A232" i="2"/>
  <c r="O231" i="2"/>
  <c r="K231" i="2"/>
  <c r="A231" i="2"/>
  <c r="O230" i="2"/>
  <c r="K230" i="2"/>
  <c r="A230" i="2"/>
  <c r="O229" i="2"/>
  <c r="K229" i="2"/>
  <c r="A229" i="2"/>
  <c r="O228" i="2"/>
  <c r="K228" i="2"/>
  <c r="A228" i="2"/>
  <c r="O227" i="2"/>
  <c r="K227" i="2"/>
  <c r="A227" i="2"/>
  <c r="O226" i="2"/>
  <c r="K226" i="2"/>
  <c r="A226" i="2"/>
  <c r="O225" i="2"/>
  <c r="K225" i="2"/>
  <c r="A225" i="2"/>
  <c r="O224" i="2"/>
  <c r="K224" i="2"/>
  <c r="A224" i="2"/>
  <c r="O223" i="2"/>
  <c r="K223" i="2"/>
  <c r="A223" i="2"/>
  <c r="O222" i="2"/>
  <c r="K222" i="2"/>
  <c r="A222" i="2"/>
  <c r="O221" i="2"/>
  <c r="K221" i="2"/>
  <c r="A221" i="2"/>
  <c r="O220" i="2"/>
  <c r="K220" i="2"/>
  <c r="A220" i="2"/>
  <c r="O219" i="2"/>
  <c r="K219" i="2"/>
  <c r="A219" i="2"/>
  <c r="O218" i="2"/>
  <c r="K218" i="2"/>
  <c r="A218" i="2"/>
  <c r="O217" i="2"/>
  <c r="K217" i="2"/>
  <c r="A217" i="2"/>
  <c r="O216" i="2"/>
  <c r="K216" i="2"/>
  <c r="A216" i="2"/>
  <c r="O215" i="2"/>
  <c r="K215" i="2"/>
  <c r="A215" i="2"/>
  <c r="O214" i="2"/>
  <c r="K214" i="2"/>
  <c r="A214" i="2"/>
  <c r="O213" i="2"/>
  <c r="K213" i="2"/>
  <c r="A213" i="2"/>
  <c r="O212" i="2"/>
  <c r="K212" i="2"/>
  <c r="A212" i="2"/>
  <c r="O211" i="2"/>
  <c r="K211" i="2"/>
  <c r="A211" i="2"/>
  <c r="O210" i="2"/>
  <c r="K210" i="2"/>
  <c r="A210" i="2"/>
  <c r="O209" i="2"/>
  <c r="K209" i="2"/>
  <c r="A209" i="2"/>
  <c r="O208" i="2"/>
  <c r="K208" i="2"/>
  <c r="A208" i="2"/>
  <c r="O207" i="2"/>
  <c r="K207" i="2"/>
  <c r="A207" i="2"/>
  <c r="O206" i="2"/>
  <c r="K206" i="2"/>
  <c r="A206" i="2"/>
  <c r="O205" i="2"/>
  <c r="K205" i="2"/>
  <c r="A205" i="2"/>
  <c r="O204" i="2"/>
  <c r="K204" i="2"/>
  <c r="A204" i="2"/>
  <c r="O203" i="2"/>
  <c r="K203" i="2"/>
  <c r="A203" i="2"/>
  <c r="O202" i="2"/>
  <c r="K202" i="2"/>
  <c r="A202" i="2"/>
  <c r="O201" i="2"/>
  <c r="K201" i="2"/>
  <c r="A201" i="2"/>
  <c r="O200" i="2"/>
  <c r="K200" i="2"/>
  <c r="A200" i="2"/>
  <c r="O199" i="2"/>
  <c r="K199" i="2"/>
  <c r="A199" i="2"/>
  <c r="O198" i="2"/>
  <c r="K198" i="2"/>
  <c r="A198" i="2"/>
  <c r="O197" i="2"/>
  <c r="K197" i="2"/>
  <c r="A197" i="2"/>
  <c r="O196" i="2"/>
  <c r="K196" i="2"/>
  <c r="A196" i="2"/>
  <c r="O195" i="2"/>
  <c r="K195" i="2"/>
  <c r="A195" i="2"/>
  <c r="O194" i="2"/>
  <c r="K194" i="2"/>
  <c r="A194" i="2"/>
  <c r="O193" i="2"/>
  <c r="K193" i="2"/>
  <c r="A193" i="2"/>
  <c r="O192" i="2"/>
  <c r="K192" i="2"/>
  <c r="A192" i="2"/>
  <c r="O191" i="2"/>
  <c r="K191" i="2"/>
  <c r="A191" i="2"/>
  <c r="O190" i="2"/>
  <c r="K190" i="2"/>
  <c r="A190" i="2"/>
  <c r="O189" i="2"/>
  <c r="K189" i="2"/>
  <c r="A189" i="2"/>
  <c r="O188" i="2"/>
  <c r="K188" i="2"/>
  <c r="A188" i="2"/>
  <c r="O187" i="2"/>
  <c r="K187" i="2"/>
  <c r="A187" i="2"/>
  <c r="O186" i="2"/>
  <c r="K186" i="2"/>
  <c r="A186" i="2"/>
  <c r="O185" i="2"/>
  <c r="K185" i="2"/>
  <c r="A185" i="2"/>
  <c r="O184" i="2"/>
  <c r="K184" i="2"/>
  <c r="A184" i="2"/>
  <c r="O183" i="2"/>
  <c r="K183" i="2"/>
  <c r="A183" i="2"/>
  <c r="O182" i="2"/>
  <c r="K182" i="2"/>
  <c r="A182" i="2"/>
  <c r="O181" i="2"/>
  <c r="K181" i="2"/>
  <c r="A181" i="2"/>
  <c r="O180" i="2"/>
  <c r="K180" i="2"/>
  <c r="A180" i="2"/>
  <c r="O179" i="2"/>
  <c r="K179" i="2"/>
  <c r="A179" i="2"/>
  <c r="O178" i="2"/>
  <c r="K178" i="2"/>
  <c r="A178" i="2"/>
  <c r="O177" i="2"/>
  <c r="K177" i="2"/>
  <c r="A177" i="2"/>
  <c r="O176" i="2"/>
  <c r="K176" i="2"/>
  <c r="A176" i="2"/>
  <c r="O175" i="2"/>
  <c r="K175" i="2"/>
  <c r="A175" i="2"/>
  <c r="O174" i="2"/>
  <c r="K174" i="2"/>
  <c r="A174" i="2"/>
  <c r="O173" i="2"/>
  <c r="K173" i="2"/>
  <c r="A173" i="2"/>
  <c r="O172" i="2"/>
  <c r="K172" i="2"/>
  <c r="A172" i="2"/>
  <c r="O171" i="2"/>
  <c r="K171" i="2"/>
  <c r="A171" i="2"/>
  <c r="O170" i="2"/>
  <c r="K170" i="2"/>
  <c r="A170" i="2"/>
  <c r="O169" i="2"/>
  <c r="K169" i="2"/>
  <c r="A169" i="2"/>
  <c r="O168" i="2"/>
  <c r="K168" i="2"/>
  <c r="A168" i="2"/>
  <c r="O167" i="2"/>
  <c r="K167" i="2"/>
  <c r="A167" i="2"/>
  <c r="O166" i="2"/>
  <c r="K166" i="2"/>
  <c r="A166" i="2"/>
  <c r="O165" i="2"/>
  <c r="K165" i="2"/>
  <c r="A165" i="2"/>
  <c r="O164" i="2"/>
  <c r="K164" i="2"/>
  <c r="A164" i="2"/>
  <c r="O163" i="2"/>
  <c r="K163" i="2"/>
  <c r="A163" i="2"/>
  <c r="O162" i="2"/>
  <c r="K162" i="2"/>
  <c r="A162" i="2"/>
  <c r="O161" i="2"/>
  <c r="K161" i="2"/>
  <c r="A161" i="2"/>
  <c r="O160" i="2"/>
  <c r="K160" i="2"/>
  <c r="A160" i="2"/>
  <c r="O159" i="2"/>
  <c r="K159" i="2"/>
  <c r="A159" i="2"/>
  <c r="O158" i="2"/>
  <c r="K158" i="2"/>
  <c r="A158" i="2"/>
  <c r="O157" i="2"/>
  <c r="K157" i="2"/>
  <c r="A157" i="2"/>
  <c r="O156" i="2"/>
  <c r="K156" i="2"/>
  <c r="A156" i="2"/>
  <c r="O155" i="2"/>
  <c r="K155" i="2"/>
  <c r="A155" i="2"/>
  <c r="O154" i="2"/>
  <c r="K154" i="2"/>
  <c r="A154" i="2"/>
  <c r="O153" i="2"/>
  <c r="K153" i="2"/>
  <c r="A153" i="2"/>
  <c r="O152" i="2"/>
  <c r="K152" i="2"/>
  <c r="A152" i="2"/>
  <c r="O151" i="2"/>
  <c r="K151" i="2"/>
  <c r="A151" i="2"/>
  <c r="O150" i="2"/>
  <c r="K150" i="2"/>
  <c r="A150" i="2"/>
  <c r="O149" i="2"/>
  <c r="K149" i="2"/>
  <c r="A149" i="2"/>
  <c r="O148" i="2"/>
  <c r="K148" i="2"/>
  <c r="A148" i="2"/>
  <c r="O147" i="2"/>
  <c r="K147" i="2"/>
  <c r="A147" i="2"/>
  <c r="O146" i="2"/>
  <c r="K146" i="2"/>
  <c r="A146" i="2"/>
  <c r="O145" i="2"/>
  <c r="K145" i="2"/>
  <c r="A145" i="2"/>
  <c r="O144" i="2"/>
  <c r="K144" i="2"/>
  <c r="A144" i="2"/>
  <c r="O143" i="2"/>
  <c r="K143" i="2"/>
  <c r="A143" i="2"/>
  <c r="O142" i="2"/>
  <c r="K142" i="2"/>
  <c r="A142" i="2"/>
  <c r="O141" i="2"/>
  <c r="K141" i="2"/>
  <c r="A141" i="2"/>
  <c r="O140" i="2"/>
  <c r="K140" i="2"/>
  <c r="A140" i="2"/>
  <c r="O139" i="2"/>
  <c r="K139" i="2"/>
  <c r="A139" i="2"/>
  <c r="O138" i="2"/>
  <c r="K138" i="2"/>
  <c r="A138" i="2"/>
  <c r="O137" i="2"/>
  <c r="K137" i="2"/>
  <c r="A137" i="2"/>
  <c r="O136" i="2"/>
  <c r="K136" i="2"/>
  <c r="A136" i="2"/>
  <c r="O135" i="2"/>
  <c r="K135" i="2"/>
  <c r="A135" i="2"/>
  <c r="O134" i="2"/>
  <c r="K134" i="2"/>
  <c r="A134" i="2"/>
  <c r="O133" i="2"/>
  <c r="K133" i="2"/>
  <c r="A133" i="2"/>
  <c r="O132" i="2"/>
  <c r="K132" i="2"/>
  <c r="A132" i="2"/>
  <c r="O131" i="2"/>
  <c r="K131" i="2"/>
  <c r="A131" i="2"/>
  <c r="O130" i="2"/>
  <c r="K130" i="2"/>
  <c r="A130" i="2"/>
  <c r="O129" i="2"/>
  <c r="K129" i="2"/>
  <c r="A129" i="2"/>
  <c r="O128" i="2"/>
  <c r="K128" i="2"/>
  <c r="A128" i="2"/>
  <c r="O127" i="2"/>
  <c r="K127" i="2"/>
  <c r="A127" i="2"/>
  <c r="O126" i="2"/>
  <c r="K126" i="2"/>
  <c r="A126" i="2"/>
  <c r="O125" i="2"/>
  <c r="K125" i="2"/>
  <c r="A125" i="2"/>
  <c r="O124" i="2"/>
  <c r="K124" i="2"/>
  <c r="A124" i="2"/>
  <c r="O123" i="2"/>
  <c r="K123" i="2"/>
  <c r="A123" i="2"/>
  <c r="O122" i="2"/>
  <c r="K122" i="2"/>
  <c r="A122" i="2"/>
  <c r="O121" i="2"/>
  <c r="K121" i="2"/>
  <c r="A121" i="2"/>
  <c r="O120" i="2"/>
  <c r="K120" i="2"/>
  <c r="A120" i="2"/>
  <c r="O119" i="2"/>
  <c r="K119" i="2"/>
  <c r="A119" i="2"/>
  <c r="O118" i="2"/>
  <c r="K118" i="2"/>
  <c r="A118" i="2"/>
  <c r="O117" i="2"/>
  <c r="K117" i="2"/>
  <c r="A117" i="2"/>
  <c r="O116" i="2"/>
  <c r="K116" i="2"/>
  <c r="A116" i="2"/>
  <c r="O115" i="2"/>
  <c r="K115" i="2"/>
  <c r="A115" i="2"/>
  <c r="O114" i="2"/>
  <c r="K114" i="2"/>
  <c r="A114" i="2"/>
  <c r="O113" i="2"/>
  <c r="K113" i="2"/>
  <c r="A113" i="2"/>
  <c r="O112" i="2"/>
  <c r="K112" i="2"/>
  <c r="A112" i="2"/>
  <c r="O111" i="2"/>
  <c r="K111" i="2"/>
  <c r="A111" i="2"/>
  <c r="O110" i="2"/>
  <c r="K110" i="2"/>
  <c r="A110" i="2"/>
  <c r="O109" i="2"/>
  <c r="K109" i="2"/>
  <c r="A109" i="2"/>
  <c r="O108" i="2"/>
  <c r="K108" i="2"/>
  <c r="A108" i="2"/>
  <c r="O107" i="2"/>
  <c r="K107" i="2"/>
  <c r="A107" i="2"/>
  <c r="O106" i="2"/>
  <c r="K106" i="2"/>
  <c r="A106" i="2"/>
  <c r="O105" i="2"/>
  <c r="K105" i="2"/>
  <c r="A105" i="2"/>
  <c r="O104" i="2"/>
  <c r="K104" i="2"/>
  <c r="A104" i="2"/>
  <c r="O103" i="2"/>
  <c r="K103" i="2"/>
  <c r="A103" i="2"/>
  <c r="O102" i="2"/>
  <c r="K102" i="2"/>
  <c r="A102" i="2"/>
  <c r="O101" i="2"/>
  <c r="K101" i="2"/>
  <c r="A101" i="2"/>
  <c r="O100" i="2"/>
  <c r="K100" i="2"/>
  <c r="A100" i="2"/>
  <c r="O99" i="2"/>
  <c r="K99" i="2"/>
  <c r="A99" i="2"/>
  <c r="O98" i="2"/>
  <c r="K98" i="2"/>
  <c r="A98" i="2"/>
  <c r="O97" i="2"/>
  <c r="K97" i="2"/>
  <c r="A97" i="2"/>
  <c r="O96" i="2"/>
  <c r="K96" i="2"/>
  <c r="A96" i="2"/>
  <c r="O95" i="2"/>
  <c r="K95" i="2"/>
  <c r="A95" i="2"/>
  <c r="O94" i="2"/>
  <c r="K94" i="2"/>
  <c r="A94" i="2"/>
  <c r="O93" i="2"/>
  <c r="K93" i="2"/>
  <c r="A93" i="2"/>
  <c r="O92" i="2"/>
  <c r="K92" i="2"/>
  <c r="A92" i="2"/>
  <c r="O91" i="2"/>
  <c r="K91" i="2"/>
  <c r="A91" i="2"/>
  <c r="O90" i="2"/>
  <c r="K90" i="2"/>
  <c r="A90" i="2"/>
  <c r="O89" i="2"/>
  <c r="K89" i="2"/>
  <c r="A89" i="2"/>
  <c r="O88" i="2"/>
  <c r="K88" i="2"/>
  <c r="A88" i="2"/>
  <c r="O87" i="2"/>
  <c r="K87" i="2"/>
  <c r="A87" i="2"/>
  <c r="O86" i="2"/>
  <c r="K86" i="2"/>
  <c r="A86" i="2"/>
  <c r="O85" i="2"/>
  <c r="K85" i="2"/>
  <c r="A85" i="2"/>
  <c r="O84" i="2"/>
  <c r="K84" i="2"/>
  <c r="A84" i="2"/>
  <c r="O83" i="2"/>
  <c r="K83" i="2"/>
  <c r="A83" i="2"/>
  <c r="O82" i="2"/>
  <c r="K82" i="2"/>
  <c r="A82" i="2"/>
  <c r="O81" i="2"/>
  <c r="K81" i="2"/>
  <c r="A81" i="2"/>
  <c r="O80" i="2"/>
  <c r="K80" i="2"/>
  <c r="A80" i="2"/>
  <c r="O79" i="2"/>
  <c r="K79" i="2"/>
  <c r="A79" i="2"/>
  <c r="O78" i="2"/>
  <c r="K78" i="2"/>
  <c r="A78" i="2"/>
  <c r="O77" i="2"/>
  <c r="K77" i="2"/>
  <c r="A77" i="2"/>
  <c r="O76" i="2"/>
  <c r="K76" i="2"/>
  <c r="A76" i="2"/>
  <c r="O75" i="2"/>
  <c r="K75" i="2"/>
  <c r="A75" i="2"/>
  <c r="O74" i="2"/>
  <c r="K74" i="2"/>
  <c r="A74" i="2"/>
  <c r="O73" i="2"/>
  <c r="K73" i="2"/>
  <c r="A73" i="2"/>
  <c r="O72" i="2"/>
  <c r="K72" i="2"/>
  <c r="A72" i="2"/>
  <c r="O71" i="2"/>
  <c r="K71" i="2"/>
  <c r="A71" i="2"/>
  <c r="O70" i="2"/>
  <c r="K70" i="2"/>
  <c r="A70" i="2"/>
  <c r="O69" i="2"/>
  <c r="K69" i="2"/>
  <c r="A69" i="2"/>
  <c r="O68" i="2"/>
  <c r="K68" i="2"/>
  <c r="A68" i="2"/>
  <c r="O67" i="2"/>
  <c r="K67" i="2"/>
  <c r="A67" i="2"/>
  <c r="O66" i="2"/>
  <c r="K66" i="2"/>
  <c r="A66" i="2"/>
  <c r="O65" i="2"/>
  <c r="K65" i="2"/>
  <c r="A65" i="2"/>
  <c r="O64" i="2"/>
  <c r="K64" i="2"/>
  <c r="A64" i="2"/>
  <c r="O63" i="2"/>
  <c r="K63" i="2"/>
  <c r="A63" i="2"/>
  <c r="O62" i="2"/>
  <c r="K62" i="2"/>
  <c r="A62" i="2"/>
  <c r="O61" i="2"/>
  <c r="K61" i="2"/>
  <c r="A61" i="2"/>
  <c r="O60" i="2"/>
  <c r="K60" i="2"/>
  <c r="A60" i="2"/>
  <c r="O59" i="2"/>
  <c r="K59" i="2"/>
  <c r="A59" i="2"/>
  <c r="O58" i="2"/>
  <c r="K58" i="2"/>
  <c r="A58" i="2"/>
  <c r="O57" i="2"/>
  <c r="K57" i="2"/>
  <c r="A57" i="2"/>
  <c r="O56" i="2"/>
  <c r="K56" i="2"/>
  <c r="A56" i="2"/>
  <c r="O55" i="2"/>
  <c r="K55" i="2"/>
  <c r="A55" i="2"/>
  <c r="O54" i="2"/>
  <c r="K54" i="2"/>
  <c r="A54" i="2"/>
  <c r="O53" i="2"/>
  <c r="K53" i="2"/>
  <c r="A53" i="2"/>
  <c r="O52" i="2"/>
  <c r="K52" i="2"/>
  <c r="A52" i="2"/>
  <c r="O51" i="2"/>
  <c r="K51" i="2"/>
  <c r="A51" i="2"/>
  <c r="O50" i="2"/>
  <c r="K50" i="2"/>
  <c r="A50" i="2"/>
  <c r="O49" i="2"/>
  <c r="K49" i="2"/>
  <c r="A49" i="2"/>
  <c r="O48" i="2"/>
  <c r="K48" i="2"/>
  <c r="A48" i="2"/>
  <c r="O47" i="2"/>
  <c r="K47" i="2"/>
  <c r="A47" i="2"/>
  <c r="O46" i="2"/>
  <c r="K46" i="2"/>
  <c r="A46" i="2"/>
  <c r="O45" i="2"/>
  <c r="K45" i="2"/>
  <c r="A45" i="2"/>
  <c r="O44" i="2"/>
  <c r="K44" i="2"/>
  <c r="A44" i="2"/>
  <c r="O43" i="2"/>
  <c r="K43" i="2"/>
  <c r="A43" i="2"/>
  <c r="O42" i="2"/>
  <c r="K42" i="2"/>
  <c r="A42" i="2"/>
  <c r="O41" i="2"/>
  <c r="K41" i="2"/>
  <c r="A41" i="2"/>
  <c r="O40" i="2"/>
  <c r="K40" i="2"/>
  <c r="A40" i="2"/>
  <c r="O39" i="2"/>
  <c r="K39" i="2"/>
  <c r="A39" i="2"/>
  <c r="O38" i="2"/>
  <c r="K38" i="2"/>
  <c r="A38" i="2"/>
  <c r="O37" i="2"/>
  <c r="K37" i="2"/>
  <c r="A37" i="2"/>
  <c r="O36" i="2"/>
  <c r="K36" i="2"/>
  <c r="A36" i="2"/>
  <c r="O35" i="2"/>
  <c r="K35" i="2"/>
  <c r="A35" i="2"/>
  <c r="O34" i="2"/>
  <c r="K34" i="2"/>
  <c r="A34" i="2"/>
  <c r="O33" i="2"/>
  <c r="K33" i="2"/>
  <c r="A33" i="2"/>
  <c r="O32" i="2"/>
  <c r="K32" i="2"/>
  <c r="A32" i="2"/>
  <c r="O31" i="2"/>
  <c r="K31" i="2"/>
  <c r="A31" i="2"/>
  <c r="O30" i="2"/>
  <c r="K30" i="2"/>
  <c r="A30" i="2"/>
  <c r="O29" i="2"/>
  <c r="K29" i="2"/>
  <c r="A29" i="2"/>
  <c r="O28" i="2"/>
  <c r="K28" i="2"/>
  <c r="A28" i="2"/>
  <c r="O27" i="2"/>
  <c r="K27" i="2"/>
  <c r="A27" i="2"/>
  <c r="O26" i="2"/>
  <c r="K26" i="2"/>
  <c r="A26" i="2"/>
  <c r="O25" i="2"/>
  <c r="K25" i="2"/>
  <c r="A25" i="2"/>
  <c r="O24" i="2"/>
  <c r="K24" i="2"/>
  <c r="A24" i="2"/>
  <c r="O23" i="2"/>
  <c r="K23" i="2"/>
  <c r="A23" i="2"/>
  <c r="O22" i="2"/>
  <c r="K22" i="2"/>
  <c r="A22" i="2"/>
  <c r="O21" i="2"/>
  <c r="K21" i="2"/>
  <c r="A21" i="2"/>
  <c r="O20" i="2"/>
  <c r="K20" i="2"/>
  <c r="A20" i="2"/>
  <c r="O19" i="2"/>
  <c r="K19" i="2"/>
  <c r="A19" i="2"/>
  <c r="O18" i="2"/>
  <c r="K18" i="2"/>
  <c r="A18" i="2"/>
  <c r="O17" i="2"/>
  <c r="K17" i="2"/>
  <c r="A17" i="2"/>
  <c r="O16" i="2"/>
  <c r="K16" i="2"/>
  <c r="A16" i="2"/>
  <c r="O15" i="2"/>
  <c r="K15" i="2"/>
  <c r="A15" i="2"/>
  <c r="O14" i="2"/>
  <c r="K14" i="2"/>
  <c r="A14" i="2"/>
  <c r="O13" i="2"/>
  <c r="K13" i="2"/>
  <c r="A13" i="2"/>
  <c r="O12" i="2"/>
  <c r="K12" i="2"/>
  <c r="A12" i="2"/>
  <c r="O11" i="2"/>
  <c r="K11" i="2"/>
  <c r="A11" i="2"/>
  <c r="O10" i="2"/>
  <c r="K10" i="2"/>
  <c r="A10" i="2"/>
  <c r="O9" i="2"/>
  <c r="K9" i="2"/>
  <c r="A9" i="2"/>
  <c r="O8" i="2"/>
  <c r="K8" i="2"/>
  <c r="A8" i="2"/>
  <c r="O7" i="2"/>
  <c r="K7" i="2"/>
  <c r="A7" i="2"/>
  <c r="O6" i="2"/>
  <c r="K6" i="2"/>
  <c r="A6" i="2"/>
  <c r="O5" i="2"/>
  <c r="K5" i="2"/>
  <c r="A5" i="2"/>
  <c r="O4" i="2"/>
  <c r="K4" i="2"/>
  <c r="A4" i="2"/>
  <c r="O3" i="2"/>
  <c r="K3" i="2"/>
  <c r="A3" i="2"/>
  <c r="O2" i="2"/>
  <c r="K2" i="2"/>
  <c r="A2" i="2"/>
  <c r="H2" i="3" s="1"/>
  <c r="B8" i="1"/>
  <c r="B6" i="1"/>
  <c r="B5" i="1"/>
  <c r="C3" i="3" l="1"/>
  <c r="H3" i="3"/>
  <c r="I3" i="3"/>
  <c r="B4" i="4"/>
  <c r="B3" i="4"/>
  <c r="B2" i="4"/>
  <c r="C2" i="3"/>
  <c r="I2" i="3"/>
  <c r="B7" i="1"/>
  <c r="B10" i="1" l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the agreed total fee for this job.</t>
        </r>
      </text>
    </comment>
    <comment ref="J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Enter deposit or amount already paid. Balance calculates from total fee minus deposit.</t>
        </r>
      </text>
    </comment>
    <comment ref="K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Formula: paid jobs show zero; otherwise total fee minus deposit, floored at zero.</t>
        </r>
      </text>
    </comment>
    <comment ref="L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Choose one staff member from the dropdown, or type multiple names separated by comma/semicolon. True multi-select dropdowns require macros, so this workbook stays macro-free.</t>
        </r>
      </text>
    </comment>
    <comment ref="M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Choose one staff member from the dropdown, or type multiple names separated by comma/semicolon. True multi-select dropdowns require macros, so this workbook stays macro-free.</t>
        </r>
      </text>
    </comment>
    <comment ref="L2" authorId="0" shapeId="0" xr:uid="{144B3043-9E8C-4CC9-9347-075165F0456D}">
      <text>
        <r>
          <rPr>
            <sz val="11"/>
            <color theme="1"/>
            <rFont val="Calibri"/>
            <family val="2"/>
            <scheme val="minor"/>
          </rPr>
          <t>For teams, type names like: Andi, Budi, Sari. The dropdown is a helper, not a strict limit.</t>
        </r>
      </text>
    </comment>
    <comment ref="M2" authorId="0" shapeId="0" xr:uid="{959FB697-F564-4BE3-9F42-68601DA48AB8}">
      <text>
        <r>
          <rPr>
            <sz val="11"/>
            <color theme="1"/>
            <rFont val="Calibri"/>
            <family val="2"/>
            <scheme val="minor"/>
          </rPr>
          <t>For teams, type names like: Andi, Budi, Sari. The dropdown is a helper, not a strict limit.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Choose a job ID from the dropdown. The dropdown is generated from real Jobs!job_id values only.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Choose a job ID from the dropdown. The dropdown is generated from real Jobs!job_id values only.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G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Enter staff names here. Jobs!photographer(s) and Jobs!editor(s) use this list for dropdown suggestions.</t>
        </r>
      </text>
    </comment>
    <comment ref="H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Optional role label, for example Photographer, Editor, Assistant Photographer, or Videographer.</t>
        </r>
      </text>
    </comment>
  </commentList>
</comments>
</file>

<file path=xl/sharedStrings.xml><?xml version="1.0" encoding="utf-8"?>
<sst xmlns="http://schemas.openxmlformats.org/spreadsheetml/2006/main" count="121" uniqueCount="101">
  <si>
    <t>Photography Tracker Dashboard</t>
  </si>
  <si>
    <t>Mobile-friendly summary generated from the Jobs, Payments, and Tasks sheets.</t>
  </si>
  <si>
    <t>Metric</t>
  </si>
  <si>
    <t>Value</t>
  </si>
  <si>
    <t>Upcoming active jobs</t>
  </si>
  <si>
    <t>Jobs in editing</t>
  </si>
  <si>
    <t>Outstanding balance</t>
  </si>
  <si>
    <t>Active jobs</t>
  </si>
  <si>
    <t>Overdue open tasks</t>
  </si>
  <si>
    <t>Open tasks</t>
  </si>
  <si>
    <t>Quick Views</t>
  </si>
  <si>
    <t>View</t>
  </si>
  <si>
    <t>How to use it</t>
  </si>
  <si>
    <t>Upcoming Jobs</t>
  </si>
  <si>
    <t>Filter Jobs by job_date and status not completed/cancelled.</t>
  </si>
  <si>
    <t>Editing Queue</t>
  </si>
  <si>
    <t>Filter Jobs status to editing.</t>
  </si>
  <si>
    <t>Outstanding Payments</t>
  </si>
  <si>
    <t>Filter Jobs balance greater than zero or payment_status not paid.</t>
  </si>
  <si>
    <t>Open Tasks</t>
  </si>
  <si>
    <t>Filter Tasks status to open/in progress/waiting.</t>
  </si>
  <si>
    <t>job_id</t>
  </si>
  <si>
    <t>client</t>
  </si>
  <si>
    <t>phone</t>
  </si>
  <si>
    <t>job_type</t>
  </si>
  <si>
    <t>job_date</t>
  </si>
  <si>
    <t>location</t>
  </si>
  <si>
    <t>status</t>
  </si>
  <si>
    <t>payment_status</t>
  </si>
  <si>
    <t>total_fee</t>
  </si>
  <si>
    <t>deposit</t>
  </si>
  <si>
    <t>balance</t>
  </si>
  <si>
    <t>photographer(s)</t>
  </si>
  <si>
    <t>editor(s)</t>
  </si>
  <si>
    <t>client_source</t>
  </si>
  <si>
    <t>created</t>
  </si>
  <si>
    <t>notes</t>
  </si>
  <si>
    <t>payment_id</t>
  </si>
  <si>
    <t>payment_date</t>
  </si>
  <si>
    <t>amount</t>
  </si>
  <si>
    <t>method</t>
  </si>
  <si>
    <t>job_total_fee</t>
  </si>
  <si>
    <t>job_balance</t>
  </si>
  <si>
    <t>task</t>
  </si>
  <si>
    <t>due_date</t>
  </si>
  <si>
    <t>Job Status</t>
  </si>
  <si>
    <t>Payment Status</t>
  </si>
  <si>
    <t>Client Source</t>
  </si>
  <si>
    <t>Job Type</t>
  </si>
  <si>
    <t>Task Status</t>
  </si>
  <si>
    <t>Payment Method</t>
  </si>
  <si>
    <t>Staff</t>
  </si>
  <si>
    <t>Primary Role</t>
  </si>
  <si>
    <t>Phone</t>
  </si>
  <si>
    <t>Notes</t>
  </si>
  <si>
    <t>WhatsApp</t>
  </si>
  <si>
    <t>Wedding</t>
  </si>
  <si>
    <t>Cash</t>
  </si>
  <si>
    <t>Photographer</t>
  </si>
  <si>
    <t>Facebook</t>
  </si>
  <si>
    <t>Engagement</t>
  </si>
  <si>
    <t>Bank Transfer</t>
  </si>
  <si>
    <t>Editor</t>
  </si>
  <si>
    <t>Instagram</t>
  </si>
  <si>
    <t>Company Event</t>
  </si>
  <si>
    <t>QRIS</t>
  </si>
  <si>
    <t>Assistant Photographer</t>
  </si>
  <si>
    <t>Referral</t>
  </si>
  <si>
    <t>Portrait</t>
  </si>
  <si>
    <t>E-wallet</t>
  </si>
  <si>
    <t>Videographer</t>
  </si>
  <si>
    <t>Returning Client</t>
  </si>
  <si>
    <t>Family</t>
  </si>
  <si>
    <t>Card</t>
  </si>
  <si>
    <t>Website</t>
  </si>
  <si>
    <t>Product</t>
  </si>
  <si>
    <t>Other</t>
  </si>
  <si>
    <t>Inquiry</t>
  </si>
  <si>
    <t>Booked</t>
  </si>
  <si>
    <t>Shot</t>
  </si>
  <si>
    <t>Editing</t>
  </si>
  <si>
    <t>Ready</t>
  </si>
  <si>
    <t>Delivered</t>
  </si>
  <si>
    <t>Completed</t>
  </si>
  <si>
    <t>Isna &amp; Edrika</t>
  </si>
  <si>
    <t>Kantor Camat Sui. Raya</t>
  </si>
  <si>
    <t>Gege, Sude</t>
  </si>
  <si>
    <t>Gege</t>
  </si>
  <si>
    <t>JOB-0001</t>
  </si>
  <si>
    <t>OPEN</t>
  </si>
  <si>
    <t>IN PROGRESS</t>
  </si>
  <si>
    <t>WAITING</t>
  </si>
  <si>
    <t>DONE</t>
  </si>
  <si>
    <t>CANCELLED</t>
  </si>
  <si>
    <t>UNPAID</t>
  </si>
  <si>
    <t>PAID</t>
  </si>
  <si>
    <t>Deposit-Paid</t>
  </si>
  <si>
    <t>Refunded</t>
  </si>
  <si>
    <t>Cancelled</t>
  </si>
  <si>
    <t>Sude</t>
  </si>
  <si>
    <t>Roni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</si>
</sst>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p\ #,##0;[Red]\(\R\p\ #,##0\);\-"/>
    <numFmt numFmtId="165" formatCode="dd\-mmm\-yyyy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8"/>
      <name val="Calibri"/>
    </font>
    <font>
      <i/>
      <sz val="11"/>
      <color rgb="FF666666"/>
      <name val="Calibri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/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165" fontId="0" fillId="0" borderId="0" xfId="0" applyNumberFormat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20"/>
  <sheetViews>
    <sheetView showGridLines="0" tabSelected="1" workbookViewId="0">
      <pane ySplit="3" topLeftCell="A4" activePane="bottomLeft" state="frozen"/>
      <selection pane="bottomLeft" activeCell="B5" sqref="B5:B10"/>
    </sheetView>
  </sheetViews>
  <sheetFormatPr defaultRowHeight="14.4" x14ac:dyDescent="0.3"/>
  <cols>
    <col min="1" max="1" width="29.21875" customWidth="1"/>
    <col min="2" max="2" width="67" customWidth="1"/>
  </cols>
  <sheetData>
    <row r="1" spans="1:3" ht="42" customHeight="1" x14ac:dyDescent="0.3">
      <c r="A1" s="9" t="s">
        <v>0</v>
      </c>
      <c r="B1" s="1"/>
    </row>
    <row r="2" spans="1:3" ht="43.2" x14ac:dyDescent="0.3">
      <c r="A2" s="10" t="s">
        <v>1</v>
      </c>
      <c r="B2" s="2"/>
    </row>
    <row r="3" spans="1:3" x14ac:dyDescent="0.3">
      <c r="A3" s="2"/>
      <c r="B3" s="2"/>
    </row>
    <row r="4" spans="1:3" ht="15.6" x14ac:dyDescent="0.3">
      <c r="A4" s="3" t="s">
        <v>2</v>
      </c>
      <c r="B4" s="3" t="s">
        <v>3</v>
      </c>
      <c r="C4" s="4"/>
    </row>
    <row r="5" spans="1:3" ht="19.95" customHeight="1" x14ac:dyDescent="0.3">
      <c r="A5" s="5" t="s">
        <v>4</v>
      </c>
      <c r="B5" s="11">
        <f ca="1">COUNTIFS(Jobs!$E$2:$E$501,"&gt;="&amp;TODAY(),Jobs!$G$2:$G$501,"&lt;&gt;completed",Jobs!$G$2:$G$501,"&lt;&gt;cancelled",Jobs!$B$2:$B$501,"&lt;&gt;")</f>
        <v>0</v>
      </c>
      <c r="C5" s="4"/>
    </row>
    <row r="6" spans="1:3" ht="19.95" customHeight="1" x14ac:dyDescent="0.3">
      <c r="A6" s="5" t="s">
        <v>5</v>
      </c>
      <c r="B6" s="11">
        <f>COUNTIF(Jobs!$G$2:$G$501,"editing")</f>
        <v>1</v>
      </c>
      <c r="C6" s="4"/>
    </row>
    <row r="7" spans="1:3" ht="19.95" customHeight="1" x14ac:dyDescent="0.3">
      <c r="A7" s="5" t="s">
        <v>6</v>
      </c>
      <c r="B7" s="12">
        <f>SUM(Jobs!$K$2:$K$501)</f>
        <v>0</v>
      </c>
      <c r="C7" s="4"/>
    </row>
    <row r="8" spans="1:3" ht="19.95" customHeight="1" x14ac:dyDescent="0.3">
      <c r="A8" s="5" t="s">
        <v>7</v>
      </c>
      <c r="B8" s="11">
        <f>COUNTIFS(Jobs!$G$2:$G$501,"&lt;&gt;completed",Jobs!$G$2:$G$501,"&lt;&gt;cancelled",Jobs!$B$2:$B$501,"&lt;&gt;")</f>
        <v>1</v>
      </c>
      <c r="C8" s="4"/>
    </row>
    <row r="9" spans="1:3" ht="19.95" customHeight="1" x14ac:dyDescent="0.3">
      <c r="A9" s="5" t="s">
        <v>8</v>
      </c>
      <c r="B9" s="11">
        <f ca="1">COUNTIFS(Tasks!$D$2:$D$501,"&lt;"&amp;TODAY(),Tasks!$D$2:$D$501,"&lt;&gt;",Tasks!$E$2:$E$501,"&lt;&gt;done",Tasks!$B$2:$B$501,"&lt;&gt;")</f>
        <v>1</v>
      </c>
      <c r="C9" s="4"/>
    </row>
    <row r="10" spans="1:3" ht="19.95" customHeight="1" x14ac:dyDescent="0.3">
      <c r="A10" s="5" t="s">
        <v>9</v>
      </c>
      <c r="B10" s="11">
        <f>COUNTIFS(Tasks!$B$2:$B$501,"&lt;&gt;",Tasks!$E$2:$E$501,"&lt;&gt;",Tasks!$E$2:$E$501,"&lt;&gt;done")</f>
        <v>1</v>
      </c>
      <c r="C10" s="4"/>
    </row>
    <row r="11" spans="1:3" ht="15.6" x14ac:dyDescent="0.3">
      <c r="A11" s="7"/>
      <c r="B11" s="7"/>
      <c r="C11" s="4"/>
    </row>
    <row r="12" spans="1:3" ht="15.6" x14ac:dyDescent="0.3">
      <c r="A12" s="7"/>
      <c r="B12" s="7"/>
      <c r="C12" s="4"/>
    </row>
    <row r="13" spans="1:3" ht="15.6" x14ac:dyDescent="0.3">
      <c r="A13" s="8" t="s">
        <v>10</v>
      </c>
      <c r="B13" s="7"/>
      <c r="C13" s="4"/>
    </row>
    <row r="14" spans="1:3" ht="15.6" x14ac:dyDescent="0.3">
      <c r="A14" s="7"/>
      <c r="B14" s="7"/>
      <c r="C14" s="4"/>
    </row>
    <row r="15" spans="1:3" ht="15.6" x14ac:dyDescent="0.3">
      <c r="A15" s="3" t="s">
        <v>11</v>
      </c>
      <c r="B15" s="3" t="s">
        <v>12</v>
      </c>
      <c r="C15" s="4"/>
    </row>
    <row r="16" spans="1:3" ht="19.95" customHeight="1" x14ac:dyDescent="0.3">
      <c r="A16" s="5" t="s">
        <v>13</v>
      </c>
      <c r="B16" s="6" t="s">
        <v>14</v>
      </c>
      <c r="C16" s="4"/>
    </row>
    <row r="17" spans="1:3" ht="19.95" customHeight="1" x14ac:dyDescent="0.3">
      <c r="A17" s="5" t="s">
        <v>15</v>
      </c>
      <c r="B17" s="6" t="s">
        <v>16</v>
      </c>
      <c r="C17" s="4"/>
    </row>
    <row r="18" spans="1:3" ht="19.95" customHeight="1" x14ac:dyDescent="0.3">
      <c r="A18" s="5" t="s">
        <v>17</v>
      </c>
      <c r="B18" s="6" t="s">
        <v>18</v>
      </c>
      <c r="C18" s="4"/>
    </row>
    <row r="19" spans="1:3" ht="19.95" customHeight="1" x14ac:dyDescent="0.3">
      <c r="A19" s="5" t="s">
        <v>19</v>
      </c>
      <c r="B19" s="6" t="s">
        <v>20</v>
      </c>
      <c r="C19" s="4"/>
    </row>
    <row r="20" spans="1:3" ht="15.6" x14ac:dyDescent="0.3">
      <c r="A20" s="4"/>
      <c r="B20" s="4"/>
      <c r="C20" s="4"/>
    </row>
  </sheetData>
  <sheetProtection sheet="1" formatCells="0" formatColumns="0" formatRows="0" selectLockedCells="1" sort="0" autoFilter="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P501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10.77734375" style="14" bestFit="1" customWidth="1"/>
    <col min="2" max="2" width="22.21875" style="14" customWidth="1"/>
    <col min="3" max="3" width="21.77734375" style="14" customWidth="1"/>
    <col min="4" max="4" width="21.88671875" style="14" customWidth="1"/>
    <col min="5" max="5" width="14.88671875" style="14" customWidth="1"/>
    <col min="6" max="6" width="26.21875" style="14" customWidth="1"/>
    <col min="7" max="7" width="15.21875" style="14" customWidth="1"/>
    <col min="8" max="8" width="22.109375" style="14" customWidth="1"/>
    <col min="9" max="9" width="15.6640625" style="14" customWidth="1"/>
    <col min="10" max="10" width="14.5546875" style="14" customWidth="1"/>
    <col min="11" max="11" width="13.88671875" style="14" customWidth="1"/>
    <col min="12" max="12" width="22.109375" style="14" customWidth="1"/>
    <col min="13" max="13" width="14.5546875" style="14" customWidth="1"/>
    <col min="14" max="14" width="20.5546875" style="14" customWidth="1"/>
    <col min="15" max="15" width="15.33203125" style="14" customWidth="1"/>
    <col min="16" max="16" width="36" style="14" customWidth="1"/>
    <col min="17" max="16384" width="8.88671875" style="14"/>
  </cols>
  <sheetData>
    <row r="1" spans="1:16" x14ac:dyDescent="0.3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3" t="s">
        <v>36</v>
      </c>
    </row>
    <row r="2" spans="1:16" x14ac:dyDescent="0.3">
      <c r="A2" s="15" t="str">
        <f t="shared" ref="A2:A65" si="0">IF(B2="","","JOB-"&amp;TEXT(ROW()-1,"0000"))</f>
        <v>JOB-0001</v>
      </c>
      <c r="B2" s="16" t="s">
        <v>84</v>
      </c>
      <c r="C2" s="16"/>
      <c r="D2" s="16" t="s">
        <v>56</v>
      </c>
      <c r="E2" s="17">
        <v>46187</v>
      </c>
      <c r="F2" s="16" t="s">
        <v>85</v>
      </c>
      <c r="G2" s="16" t="s">
        <v>80</v>
      </c>
      <c r="H2" s="16" t="s">
        <v>95</v>
      </c>
      <c r="I2" s="18">
        <v>1600000</v>
      </c>
      <c r="J2" s="18">
        <v>1600000</v>
      </c>
      <c r="K2" s="19">
        <f t="shared" ref="K2:K65" si="1">IF(B2="","",IF(H2="paid",0,MAX(0,I2-J2)))</f>
        <v>0</v>
      </c>
      <c r="L2" s="16" t="s">
        <v>86</v>
      </c>
      <c r="M2" s="16" t="s">
        <v>87</v>
      </c>
      <c r="N2" s="16" t="s">
        <v>67</v>
      </c>
      <c r="O2" s="20">
        <f t="shared" ref="O2:O65" ca="1" si="2">IF(B2="","",TODAY())</f>
        <v>46201</v>
      </c>
      <c r="P2" s="16"/>
    </row>
    <row r="3" spans="1:16" x14ac:dyDescent="0.3">
      <c r="A3" s="15" t="str">
        <f t="shared" si="0"/>
        <v/>
      </c>
      <c r="B3" s="16"/>
      <c r="C3" s="16"/>
      <c r="D3" s="16"/>
      <c r="E3" s="17"/>
      <c r="F3" s="16"/>
      <c r="G3" s="16"/>
      <c r="H3" s="16"/>
      <c r="I3" s="18"/>
      <c r="J3" s="18"/>
      <c r="K3" s="19" t="str">
        <f t="shared" si="1"/>
        <v/>
      </c>
      <c r="L3" s="16"/>
      <c r="M3" s="16"/>
      <c r="N3" s="16"/>
      <c r="O3" s="20" t="str">
        <f t="shared" ca="1" si="2"/>
        <v/>
      </c>
      <c r="P3" s="16"/>
    </row>
    <row r="4" spans="1:16" x14ac:dyDescent="0.3">
      <c r="A4" s="15" t="str">
        <f t="shared" si="0"/>
        <v/>
      </c>
      <c r="B4" s="16"/>
      <c r="C4" s="16"/>
      <c r="D4" s="16"/>
      <c r="E4" s="17"/>
      <c r="F4" s="16"/>
      <c r="G4" s="16"/>
      <c r="H4" s="16"/>
      <c r="I4" s="18"/>
      <c r="J4" s="18"/>
      <c r="K4" s="19" t="str">
        <f t="shared" si="1"/>
        <v/>
      </c>
      <c r="L4" s="16"/>
      <c r="M4" s="16"/>
      <c r="N4" s="16"/>
      <c r="O4" s="20" t="str">
        <f t="shared" ca="1" si="2"/>
        <v/>
      </c>
      <c r="P4" s="16"/>
    </row>
    <row r="5" spans="1:16" x14ac:dyDescent="0.3">
      <c r="A5" s="15" t="str">
        <f t="shared" si="0"/>
        <v/>
      </c>
      <c r="B5" s="16"/>
      <c r="C5" s="16"/>
      <c r="D5" s="16"/>
      <c r="E5" s="17"/>
      <c r="F5" s="16"/>
      <c r="G5" s="16"/>
      <c r="H5" s="16"/>
      <c r="I5" s="18"/>
      <c r="J5" s="18"/>
      <c r="K5" s="19" t="str">
        <f t="shared" si="1"/>
        <v/>
      </c>
      <c r="L5" s="16"/>
      <c r="M5" s="16"/>
      <c r="N5" s="16"/>
      <c r="O5" s="20" t="str">
        <f t="shared" ca="1" si="2"/>
        <v/>
      </c>
      <c r="P5" s="16"/>
    </row>
    <row r="6" spans="1:16" x14ac:dyDescent="0.3">
      <c r="A6" s="15" t="str">
        <f t="shared" si="0"/>
        <v/>
      </c>
      <c r="B6" s="16"/>
      <c r="C6" s="16"/>
      <c r="D6" s="16"/>
      <c r="E6" s="17"/>
      <c r="F6" s="16"/>
      <c r="G6" s="16"/>
      <c r="H6" s="16"/>
      <c r="I6" s="18"/>
      <c r="J6" s="18"/>
      <c r="K6" s="19" t="str">
        <f t="shared" si="1"/>
        <v/>
      </c>
      <c r="L6" s="16"/>
      <c r="M6" s="16"/>
      <c r="N6" s="16"/>
      <c r="O6" s="20" t="str">
        <f t="shared" ca="1" si="2"/>
        <v/>
      </c>
      <c r="P6" s="16"/>
    </row>
    <row r="7" spans="1:16" x14ac:dyDescent="0.3">
      <c r="A7" s="15" t="str">
        <f t="shared" si="0"/>
        <v/>
      </c>
      <c r="B7" s="16"/>
      <c r="C7" s="16"/>
      <c r="D7" s="16"/>
      <c r="E7" s="17"/>
      <c r="F7" s="16"/>
      <c r="G7" s="16"/>
      <c r="H7" s="16"/>
      <c r="I7" s="18"/>
      <c r="J7" s="18"/>
      <c r="K7" s="19" t="str">
        <f t="shared" si="1"/>
        <v/>
      </c>
      <c r="L7" s="16"/>
      <c r="M7" s="16"/>
      <c r="N7" s="16"/>
      <c r="O7" s="20" t="str">
        <f t="shared" ca="1" si="2"/>
        <v/>
      </c>
      <c r="P7" s="16"/>
    </row>
    <row r="8" spans="1:16" x14ac:dyDescent="0.3">
      <c r="A8" s="15" t="str">
        <f t="shared" si="0"/>
        <v/>
      </c>
      <c r="B8" s="16"/>
      <c r="C8" s="16"/>
      <c r="D8" s="16"/>
      <c r="E8" s="17"/>
      <c r="F8" s="16"/>
      <c r="G8" s="16"/>
      <c r="H8" s="16"/>
      <c r="I8" s="18"/>
      <c r="J8" s="18"/>
      <c r="K8" s="19" t="str">
        <f t="shared" si="1"/>
        <v/>
      </c>
      <c r="L8" s="16"/>
      <c r="M8" s="16"/>
      <c r="N8" s="16"/>
      <c r="O8" s="20" t="str">
        <f t="shared" ca="1" si="2"/>
        <v/>
      </c>
      <c r="P8" s="16"/>
    </row>
    <row r="9" spans="1:16" x14ac:dyDescent="0.3">
      <c r="A9" s="15" t="str">
        <f t="shared" si="0"/>
        <v/>
      </c>
      <c r="B9" s="16"/>
      <c r="C9" s="16"/>
      <c r="D9" s="16"/>
      <c r="E9" s="17"/>
      <c r="F9" s="16"/>
      <c r="G9" s="16"/>
      <c r="H9" s="16"/>
      <c r="I9" s="18"/>
      <c r="J9" s="18"/>
      <c r="K9" s="19" t="str">
        <f t="shared" si="1"/>
        <v/>
      </c>
      <c r="L9" s="16"/>
      <c r="M9" s="16"/>
      <c r="N9" s="16"/>
      <c r="O9" s="20" t="str">
        <f t="shared" ca="1" si="2"/>
        <v/>
      </c>
      <c r="P9" s="16"/>
    </row>
    <row r="10" spans="1:16" x14ac:dyDescent="0.3">
      <c r="A10" s="15" t="str">
        <f t="shared" si="0"/>
        <v/>
      </c>
      <c r="B10" s="16"/>
      <c r="C10" s="16"/>
      <c r="D10" s="16"/>
      <c r="E10" s="17"/>
      <c r="F10" s="16"/>
      <c r="G10" s="16"/>
      <c r="H10" s="16"/>
      <c r="I10" s="18"/>
      <c r="J10" s="18"/>
      <c r="K10" s="19" t="str">
        <f t="shared" si="1"/>
        <v/>
      </c>
      <c r="L10" s="16"/>
      <c r="M10" s="16"/>
      <c r="N10" s="16"/>
      <c r="O10" s="20" t="str">
        <f t="shared" ca="1" si="2"/>
        <v/>
      </c>
      <c r="P10" s="16"/>
    </row>
    <row r="11" spans="1:16" x14ac:dyDescent="0.3">
      <c r="A11" s="15" t="str">
        <f t="shared" si="0"/>
        <v/>
      </c>
      <c r="B11" s="16"/>
      <c r="C11" s="16"/>
      <c r="D11" s="16"/>
      <c r="E11" s="17"/>
      <c r="F11" s="16"/>
      <c r="G11" s="16"/>
      <c r="H11" s="16"/>
      <c r="I11" s="18"/>
      <c r="J11" s="18"/>
      <c r="K11" s="19" t="str">
        <f t="shared" si="1"/>
        <v/>
      </c>
      <c r="L11" s="16"/>
      <c r="M11" s="16"/>
      <c r="N11" s="16"/>
      <c r="O11" s="20" t="str">
        <f t="shared" ca="1" si="2"/>
        <v/>
      </c>
      <c r="P11" s="16"/>
    </row>
    <row r="12" spans="1:16" x14ac:dyDescent="0.3">
      <c r="A12" s="15" t="str">
        <f t="shared" si="0"/>
        <v/>
      </c>
      <c r="B12" s="16"/>
      <c r="C12" s="16"/>
      <c r="D12" s="16"/>
      <c r="E12" s="17"/>
      <c r="F12" s="16"/>
      <c r="G12" s="16"/>
      <c r="H12" s="16"/>
      <c r="I12" s="18"/>
      <c r="J12" s="18"/>
      <c r="K12" s="19" t="str">
        <f t="shared" si="1"/>
        <v/>
      </c>
      <c r="L12" s="16"/>
      <c r="M12" s="16"/>
      <c r="N12" s="16"/>
      <c r="O12" s="20" t="str">
        <f t="shared" ca="1" si="2"/>
        <v/>
      </c>
      <c r="P12" s="16"/>
    </row>
    <row r="13" spans="1:16" x14ac:dyDescent="0.3">
      <c r="A13" s="15" t="str">
        <f t="shared" si="0"/>
        <v/>
      </c>
      <c r="B13" s="16"/>
      <c r="C13" s="16"/>
      <c r="D13" s="16"/>
      <c r="E13" s="17"/>
      <c r="F13" s="16"/>
      <c r="G13" s="16"/>
      <c r="H13" s="16"/>
      <c r="I13" s="18"/>
      <c r="J13" s="18"/>
      <c r="K13" s="19" t="str">
        <f t="shared" si="1"/>
        <v/>
      </c>
      <c r="L13" s="16"/>
      <c r="M13" s="16"/>
      <c r="N13" s="16"/>
      <c r="O13" s="20" t="str">
        <f t="shared" ca="1" si="2"/>
        <v/>
      </c>
      <c r="P13" s="16"/>
    </row>
    <row r="14" spans="1:16" x14ac:dyDescent="0.3">
      <c r="A14" s="15" t="str">
        <f t="shared" si="0"/>
        <v/>
      </c>
      <c r="B14" s="16"/>
      <c r="C14" s="16"/>
      <c r="D14" s="16"/>
      <c r="E14" s="17"/>
      <c r="F14" s="16"/>
      <c r="G14" s="16"/>
      <c r="H14" s="16"/>
      <c r="I14" s="18"/>
      <c r="J14" s="18"/>
      <c r="K14" s="19" t="str">
        <f t="shared" si="1"/>
        <v/>
      </c>
      <c r="L14" s="16"/>
      <c r="M14" s="16"/>
      <c r="N14" s="16"/>
      <c r="O14" s="20" t="str">
        <f t="shared" ca="1" si="2"/>
        <v/>
      </c>
      <c r="P14" s="16"/>
    </row>
    <row r="15" spans="1:16" x14ac:dyDescent="0.3">
      <c r="A15" s="15" t="str">
        <f t="shared" si="0"/>
        <v/>
      </c>
      <c r="B15" s="16"/>
      <c r="C15" s="16"/>
      <c r="D15" s="16"/>
      <c r="E15" s="17"/>
      <c r="F15" s="16"/>
      <c r="G15" s="16"/>
      <c r="H15" s="16"/>
      <c r="I15" s="18"/>
      <c r="J15" s="18"/>
      <c r="K15" s="19" t="str">
        <f t="shared" si="1"/>
        <v/>
      </c>
      <c r="L15" s="16"/>
      <c r="M15" s="16"/>
      <c r="N15" s="16"/>
      <c r="O15" s="20" t="str">
        <f t="shared" ca="1" si="2"/>
        <v/>
      </c>
      <c r="P15" s="16"/>
    </row>
    <row r="16" spans="1:16" x14ac:dyDescent="0.3">
      <c r="A16" s="15" t="str">
        <f t="shared" si="0"/>
        <v/>
      </c>
      <c r="B16" s="16"/>
      <c r="C16" s="16"/>
      <c r="D16" s="16"/>
      <c r="E16" s="17"/>
      <c r="F16" s="16"/>
      <c r="G16" s="16"/>
      <c r="H16" s="16"/>
      <c r="I16" s="18"/>
      <c r="J16" s="18"/>
      <c r="K16" s="19" t="str">
        <f t="shared" si="1"/>
        <v/>
      </c>
      <c r="L16" s="16"/>
      <c r="M16" s="16"/>
      <c r="N16" s="16"/>
      <c r="O16" s="20" t="str">
        <f t="shared" ca="1" si="2"/>
        <v/>
      </c>
      <c r="P16" s="16"/>
    </row>
    <row r="17" spans="1:16" x14ac:dyDescent="0.3">
      <c r="A17" s="15" t="str">
        <f t="shared" si="0"/>
        <v/>
      </c>
      <c r="B17" s="16"/>
      <c r="C17" s="16"/>
      <c r="D17" s="16"/>
      <c r="E17" s="17"/>
      <c r="F17" s="16"/>
      <c r="G17" s="16"/>
      <c r="H17" s="16"/>
      <c r="I17" s="18"/>
      <c r="J17" s="18"/>
      <c r="K17" s="19" t="str">
        <f t="shared" si="1"/>
        <v/>
      </c>
      <c r="L17" s="16"/>
      <c r="M17" s="16"/>
      <c r="N17" s="16"/>
      <c r="O17" s="20" t="str">
        <f t="shared" ca="1" si="2"/>
        <v/>
      </c>
      <c r="P17" s="16"/>
    </row>
    <row r="18" spans="1:16" x14ac:dyDescent="0.3">
      <c r="A18" s="15" t="str">
        <f t="shared" si="0"/>
        <v/>
      </c>
      <c r="B18" s="16"/>
      <c r="C18" s="16"/>
      <c r="D18" s="16"/>
      <c r="E18" s="17"/>
      <c r="F18" s="16"/>
      <c r="G18" s="16"/>
      <c r="H18" s="16"/>
      <c r="I18" s="18"/>
      <c r="J18" s="18"/>
      <c r="K18" s="19" t="str">
        <f t="shared" si="1"/>
        <v/>
      </c>
      <c r="L18" s="16"/>
      <c r="M18" s="16"/>
      <c r="N18" s="16"/>
      <c r="O18" s="20" t="str">
        <f t="shared" ca="1" si="2"/>
        <v/>
      </c>
      <c r="P18" s="16"/>
    </row>
    <row r="19" spans="1:16" x14ac:dyDescent="0.3">
      <c r="A19" s="15" t="str">
        <f t="shared" si="0"/>
        <v/>
      </c>
      <c r="B19" s="16"/>
      <c r="C19" s="16"/>
      <c r="D19" s="16"/>
      <c r="E19" s="17"/>
      <c r="F19" s="16"/>
      <c r="G19" s="16"/>
      <c r="H19" s="16"/>
      <c r="I19" s="18"/>
      <c r="J19" s="18"/>
      <c r="K19" s="19" t="str">
        <f t="shared" si="1"/>
        <v/>
      </c>
      <c r="L19" s="16"/>
      <c r="M19" s="16"/>
      <c r="N19" s="16"/>
      <c r="O19" s="20" t="str">
        <f t="shared" ca="1" si="2"/>
        <v/>
      </c>
      <c r="P19" s="16"/>
    </row>
    <row r="20" spans="1:16" x14ac:dyDescent="0.3">
      <c r="A20" s="15" t="str">
        <f t="shared" si="0"/>
        <v/>
      </c>
      <c r="B20" s="16"/>
      <c r="C20" s="16"/>
      <c r="D20" s="16"/>
      <c r="E20" s="17"/>
      <c r="F20" s="16"/>
      <c r="G20" s="16"/>
      <c r="H20" s="16"/>
      <c r="I20" s="18"/>
      <c r="J20" s="18"/>
      <c r="K20" s="19" t="str">
        <f t="shared" si="1"/>
        <v/>
      </c>
      <c r="L20" s="16"/>
      <c r="M20" s="16"/>
      <c r="N20" s="16"/>
      <c r="O20" s="20" t="str">
        <f t="shared" ca="1" si="2"/>
        <v/>
      </c>
      <c r="P20" s="16"/>
    </row>
    <row r="21" spans="1:16" x14ac:dyDescent="0.3">
      <c r="A21" s="15" t="str">
        <f t="shared" si="0"/>
        <v/>
      </c>
      <c r="B21" s="16"/>
      <c r="C21" s="16"/>
      <c r="D21" s="16"/>
      <c r="E21" s="17"/>
      <c r="F21" s="16"/>
      <c r="G21" s="16"/>
      <c r="H21" s="16"/>
      <c r="I21" s="18"/>
      <c r="J21" s="18"/>
      <c r="K21" s="19" t="str">
        <f t="shared" si="1"/>
        <v/>
      </c>
      <c r="L21" s="16"/>
      <c r="M21" s="16"/>
      <c r="N21" s="16"/>
      <c r="O21" s="20" t="str">
        <f t="shared" ca="1" si="2"/>
        <v/>
      </c>
      <c r="P21" s="16"/>
    </row>
    <row r="22" spans="1:16" x14ac:dyDescent="0.3">
      <c r="A22" s="15" t="str">
        <f t="shared" si="0"/>
        <v/>
      </c>
      <c r="B22" s="16"/>
      <c r="C22" s="16"/>
      <c r="D22" s="16"/>
      <c r="E22" s="17"/>
      <c r="F22" s="16"/>
      <c r="G22" s="16"/>
      <c r="H22" s="16"/>
      <c r="I22" s="18"/>
      <c r="J22" s="18"/>
      <c r="K22" s="19" t="str">
        <f t="shared" si="1"/>
        <v/>
      </c>
      <c r="L22" s="16"/>
      <c r="M22" s="16"/>
      <c r="N22" s="16"/>
      <c r="O22" s="20" t="str">
        <f t="shared" ca="1" si="2"/>
        <v/>
      </c>
      <c r="P22" s="16"/>
    </row>
    <row r="23" spans="1:16" x14ac:dyDescent="0.3">
      <c r="A23" s="15" t="str">
        <f t="shared" si="0"/>
        <v/>
      </c>
      <c r="B23" s="16"/>
      <c r="C23" s="16"/>
      <c r="D23" s="16"/>
      <c r="E23" s="17"/>
      <c r="F23" s="16"/>
      <c r="G23" s="16"/>
      <c r="H23" s="16"/>
      <c r="I23" s="18"/>
      <c r="J23" s="18"/>
      <c r="K23" s="19" t="str">
        <f t="shared" si="1"/>
        <v/>
      </c>
      <c r="L23" s="16"/>
      <c r="M23" s="16"/>
      <c r="N23" s="16"/>
      <c r="O23" s="20" t="str">
        <f t="shared" ca="1" si="2"/>
        <v/>
      </c>
      <c r="P23" s="16"/>
    </row>
    <row r="24" spans="1:16" x14ac:dyDescent="0.3">
      <c r="A24" s="15" t="str">
        <f t="shared" si="0"/>
        <v/>
      </c>
      <c r="B24" s="16"/>
      <c r="C24" s="16"/>
      <c r="D24" s="16"/>
      <c r="E24" s="17"/>
      <c r="F24" s="16"/>
      <c r="G24" s="16"/>
      <c r="H24" s="16"/>
      <c r="I24" s="18"/>
      <c r="J24" s="18"/>
      <c r="K24" s="19" t="str">
        <f t="shared" si="1"/>
        <v/>
      </c>
      <c r="L24" s="16"/>
      <c r="M24" s="16"/>
      <c r="N24" s="16"/>
      <c r="O24" s="20" t="str">
        <f t="shared" ca="1" si="2"/>
        <v/>
      </c>
      <c r="P24" s="16"/>
    </row>
    <row r="25" spans="1:16" x14ac:dyDescent="0.3">
      <c r="A25" s="15" t="str">
        <f t="shared" si="0"/>
        <v/>
      </c>
      <c r="B25" s="16"/>
      <c r="C25" s="16"/>
      <c r="D25" s="16"/>
      <c r="E25" s="17"/>
      <c r="F25" s="16"/>
      <c r="G25" s="16"/>
      <c r="H25" s="16"/>
      <c r="I25" s="18"/>
      <c r="J25" s="18"/>
      <c r="K25" s="19" t="str">
        <f t="shared" si="1"/>
        <v/>
      </c>
      <c r="L25" s="16"/>
      <c r="M25" s="16"/>
      <c r="N25" s="16"/>
      <c r="O25" s="20" t="str">
        <f t="shared" ca="1" si="2"/>
        <v/>
      </c>
      <c r="P25" s="16"/>
    </row>
    <row r="26" spans="1:16" x14ac:dyDescent="0.3">
      <c r="A26" s="15" t="str">
        <f t="shared" si="0"/>
        <v/>
      </c>
      <c r="B26" s="16"/>
      <c r="C26" s="16"/>
      <c r="D26" s="16"/>
      <c r="E26" s="17"/>
      <c r="F26" s="16"/>
      <c r="G26" s="16"/>
      <c r="H26" s="16"/>
      <c r="I26" s="18"/>
      <c r="J26" s="18"/>
      <c r="K26" s="19" t="str">
        <f t="shared" si="1"/>
        <v/>
      </c>
      <c r="L26" s="16"/>
      <c r="M26" s="16"/>
      <c r="N26" s="16"/>
      <c r="O26" s="20" t="str">
        <f t="shared" ca="1" si="2"/>
        <v/>
      </c>
      <c r="P26" s="16"/>
    </row>
    <row r="27" spans="1:16" x14ac:dyDescent="0.3">
      <c r="A27" s="15" t="str">
        <f t="shared" si="0"/>
        <v/>
      </c>
      <c r="B27" s="16"/>
      <c r="C27" s="16"/>
      <c r="D27" s="16"/>
      <c r="E27" s="17"/>
      <c r="F27" s="16"/>
      <c r="G27" s="16"/>
      <c r="H27" s="16"/>
      <c r="I27" s="18"/>
      <c r="J27" s="18"/>
      <c r="K27" s="19" t="str">
        <f t="shared" si="1"/>
        <v/>
      </c>
      <c r="L27" s="16"/>
      <c r="M27" s="16"/>
      <c r="N27" s="16"/>
      <c r="O27" s="20" t="str">
        <f t="shared" ca="1" si="2"/>
        <v/>
      </c>
      <c r="P27" s="16"/>
    </row>
    <row r="28" spans="1:16" x14ac:dyDescent="0.3">
      <c r="A28" s="15" t="str">
        <f t="shared" si="0"/>
        <v/>
      </c>
      <c r="B28" s="16"/>
      <c r="C28" s="16"/>
      <c r="D28" s="16"/>
      <c r="E28" s="17"/>
      <c r="F28" s="16"/>
      <c r="G28" s="16"/>
      <c r="H28" s="16"/>
      <c r="I28" s="18"/>
      <c r="J28" s="18"/>
      <c r="K28" s="19" t="str">
        <f t="shared" si="1"/>
        <v/>
      </c>
      <c r="L28" s="16"/>
      <c r="M28" s="16"/>
      <c r="N28" s="16"/>
      <c r="O28" s="20" t="str">
        <f t="shared" ca="1" si="2"/>
        <v/>
      </c>
      <c r="P28" s="16"/>
    </row>
    <row r="29" spans="1:16" x14ac:dyDescent="0.3">
      <c r="A29" s="15" t="str">
        <f t="shared" si="0"/>
        <v/>
      </c>
      <c r="B29" s="16"/>
      <c r="C29" s="16"/>
      <c r="D29" s="16"/>
      <c r="E29" s="17"/>
      <c r="F29" s="16"/>
      <c r="G29" s="16"/>
      <c r="H29" s="16"/>
      <c r="I29" s="18"/>
      <c r="J29" s="18"/>
      <c r="K29" s="19" t="str">
        <f t="shared" si="1"/>
        <v/>
      </c>
      <c r="L29" s="16"/>
      <c r="M29" s="16"/>
      <c r="N29" s="16"/>
      <c r="O29" s="20" t="str">
        <f t="shared" ca="1" si="2"/>
        <v/>
      </c>
      <c r="P29" s="16"/>
    </row>
    <row r="30" spans="1:16" x14ac:dyDescent="0.3">
      <c r="A30" s="15" t="str">
        <f t="shared" si="0"/>
        <v/>
      </c>
      <c r="B30" s="16"/>
      <c r="C30" s="16"/>
      <c r="D30" s="16"/>
      <c r="E30" s="17"/>
      <c r="F30" s="16"/>
      <c r="G30" s="16"/>
      <c r="H30" s="16"/>
      <c r="I30" s="18"/>
      <c r="J30" s="18"/>
      <c r="K30" s="19" t="str">
        <f t="shared" si="1"/>
        <v/>
      </c>
      <c r="L30" s="16"/>
      <c r="M30" s="16"/>
      <c r="N30" s="16"/>
      <c r="O30" s="20" t="str">
        <f t="shared" ca="1" si="2"/>
        <v/>
      </c>
      <c r="P30" s="16"/>
    </row>
    <row r="31" spans="1:16" x14ac:dyDescent="0.3">
      <c r="A31" s="15" t="str">
        <f t="shared" si="0"/>
        <v/>
      </c>
      <c r="B31" s="16"/>
      <c r="C31" s="16"/>
      <c r="D31" s="16"/>
      <c r="E31" s="17"/>
      <c r="F31" s="16"/>
      <c r="G31" s="16"/>
      <c r="H31" s="16"/>
      <c r="I31" s="18"/>
      <c r="J31" s="18"/>
      <c r="K31" s="19" t="str">
        <f t="shared" si="1"/>
        <v/>
      </c>
      <c r="L31" s="16"/>
      <c r="M31" s="16"/>
      <c r="N31" s="16"/>
      <c r="O31" s="20" t="str">
        <f t="shared" ca="1" si="2"/>
        <v/>
      </c>
      <c r="P31" s="16"/>
    </row>
    <row r="32" spans="1:16" x14ac:dyDescent="0.3">
      <c r="A32" s="15" t="str">
        <f t="shared" si="0"/>
        <v/>
      </c>
      <c r="B32" s="16"/>
      <c r="C32" s="16"/>
      <c r="D32" s="16"/>
      <c r="E32" s="17"/>
      <c r="F32" s="16"/>
      <c r="G32" s="16"/>
      <c r="H32" s="16"/>
      <c r="I32" s="18"/>
      <c r="J32" s="18"/>
      <c r="K32" s="19" t="str">
        <f t="shared" si="1"/>
        <v/>
      </c>
      <c r="L32" s="16"/>
      <c r="M32" s="16"/>
      <c r="N32" s="16"/>
      <c r="O32" s="20" t="str">
        <f t="shared" ca="1" si="2"/>
        <v/>
      </c>
      <c r="P32" s="16"/>
    </row>
    <row r="33" spans="1:16" x14ac:dyDescent="0.3">
      <c r="A33" s="15" t="str">
        <f t="shared" si="0"/>
        <v/>
      </c>
      <c r="B33" s="16"/>
      <c r="C33" s="16"/>
      <c r="D33" s="16"/>
      <c r="E33" s="17"/>
      <c r="F33" s="16"/>
      <c r="G33" s="16"/>
      <c r="H33" s="16"/>
      <c r="I33" s="18"/>
      <c r="J33" s="18"/>
      <c r="K33" s="19" t="str">
        <f t="shared" si="1"/>
        <v/>
      </c>
      <c r="L33" s="16"/>
      <c r="M33" s="16"/>
      <c r="N33" s="16"/>
      <c r="O33" s="20" t="str">
        <f t="shared" ca="1" si="2"/>
        <v/>
      </c>
      <c r="P33" s="16"/>
    </row>
    <row r="34" spans="1:16" x14ac:dyDescent="0.3">
      <c r="A34" s="15" t="str">
        <f t="shared" si="0"/>
        <v/>
      </c>
      <c r="B34" s="16"/>
      <c r="C34" s="16"/>
      <c r="D34" s="16"/>
      <c r="E34" s="17"/>
      <c r="F34" s="16"/>
      <c r="G34" s="16"/>
      <c r="H34" s="16"/>
      <c r="I34" s="18"/>
      <c r="J34" s="18"/>
      <c r="K34" s="19" t="str">
        <f t="shared" si="1"/>
        <v/>
      </c>
      <c r="L34" s="16"/>
      <c r="M34" s="16"/>
      <c r="N34" s="16"/>
      <c r="O34" s="20" t="str">
        <f t="shared" ca="1" si="2"/>
        <v/>
      </c>
      <c r="P34" s="16"/>
    </row>
    <row r="35" spans="1:16" x14ac:dyDescent="0.3">
      <c r="A35" s="15" t="str">
        <f t="shared" si="0"/>
        <v/>
      </c>
      <c r="B35" s="16"/>
      <c r="C35" s="16"/>
      <c r="D35" s="16"/>
      <c r="E35" s="17"/>
      <c r="F35" s="16"/>
      <c r="G35" s="16"/>
      <c r="H35" s="16"/>
      <c r="I35" s="18"/>
      <c r="J35" s="18"/>
      <c r="K35" s="19" t="str">
        <f t="shared" si="1"/>
        <v/>
      </c>
      <c r="L35" s="16"/>
      <c r="M35" s="16"/>
      <c r="N35" s="16"/>
      <c r="O35" s="20" t="str">
        <f t="shared" ca="1" si="2"/>
        <v/>
      </c>
      <c r="P35" s="16"/>
    </row>
    <row r="36" spans="1:16" x14ac:dyDescent="0.3">
      <c r="A36" s="15" t="str">
        <f t="shared" si="0"/>
        <v/>
      </c>
      <c r="B36" s="16"/>
      <c r="C36" s="16"/>
      <c r="D36" s="16"/>
      <c r="E36" s="17"/>
      <c r="F36" s="16"/>
      <c r="G36" s="16"/>
      <c r="H36" s="16"/>
      <c r="I36" s="18"/>
      <c r="J36" s="18"/>
      <c r="K36" s="19" t="str">
        <f t="shared" si="1"/>
        <v/>
      </c>
      <c r="L36" s="16"/>
      <c r="M36" s="16"/>
      <c r="N36" s="16"/>
      <c r="O36" s="20" t="str">
        <f t="shared" ca="1" si="2"/>
        <v/>
      </c>
      <c r="P36" s="16"/>
    </row>
    <row r="37" spans="1:16" x14ac:dyDescent="0.3">
      <c r="A37" s="15" t="str">
        <f t="shared" si="0"/>
        <v/>
      </c>
      <c r="B37" s="16"/>
      <c r="C37" s="16"/>
      <c r="D37" s="16"/>
      <c r="E37" s="17"/>
      <c r="F37" s="16"/>
      <c r="G37" s="16"/>
      <c r="H37" s="16"/>
      <c r="I37" s="18"/>
      <c r="J37" s="18"/>
      <c r="K37" s="19" t="str">
        <f t="shared" si="1"/>
        <v/>
      </c>
      <c r="L37" s="16"/>
      <c r="M37" s="16"/>
      <c r="N37" s="16"/>
      <c r="O37" s="20" t="str">
        <f t="shared" ca="1" si="2"/>
        <v/>
      </c>
      <c r="P37" s="16"/>
    </row>
    <row r="38" spans="1:16" x14ac:dyDescent="0.3">
      <c r="A38" s="15" t="str">
        <f t="shared" si="0"/>
        <v/>
      </c>
      <c r="B38" s="16"/>
      <c r="C38" s="16"/>
      <c r="D38" s="16"/>
      <c r="E38" s="17"/>
      <c r="F38" s="16"/>
      <c r="G38" s="16"/>
      <c r="H38" s="16"/>
      <c r="I38" s="18"/>
      <c r="J38" s="18"/>
      <c r="K38" s="19" t="str">
        <f t="shared" si="1"/>
        <v/>
      </c>
      <c r="L38" s="16"/>
      <c r="M38" s="16"/>
      <c r="N38" s="16"/>
      <c r="O38" s="20" t="str">
        <f t="shared" ca="1" si="2"/>
        <v/>
      </c>
      <c r="P38" s="16"/>
    </row>
    <row r="39" spans="1:16" x14ac:dyDescent="0.3">
      <c r="A39" s="15" t="str">
        <f t="shared" si="0"/>
        <v/>
      </c>
      <c r="B39" s="16"/>
      <c r="C39" s="16"/>
      <c r="D39" s="16"/>
      <c r="E39" s="17"/>
      <c r="F39" s="16"/>
      <c r="G39" s="16"/>
      <c r="H39" s="16"/>
      <c r="I39" s="18"/>
      <c r="J39" s="18"/>
      <c r="K39" s="19" t="str">
        <f t="shared" si="1"/>
        <v/>
      </c>
      <c r="L39" s="16"/>
      <c r="M39" s="16"/>
      <c r="N39" s="16"/>
      <c r="O39" s="20" t="str">
        <f t="shared" ca="1" si="2"/>
        <v/>
      </c>
      <c r="P39" s="16"/>
    </row>
    <row r="40" spans="1:16" x14ac:dyDescent="0.3">
      <c r="A40" s="15" t="str">
        <f t="shared" si="0"/>
        <v/>
      </c>
      <c r="B40" s="16"/>
      <c r="C40" s="16"/>
      <c r="D40" s="16"/>
      <c r="E40" s="17"/>
      <c r="F40" s="16"/>
      <c r="G40" s="16"/>
      <c r="H40" s="16"/>
      <c r="I40" s="18"/>
      <c r="J40" s="18"/>
      <c r="K40" s="19" t="str">
        <f t="shared" si="1"/>
        <v/>
      </c>
      <c r="L40" s="16"/>
      <c r="M40" s="16"/>
      <c r="N40" s="16"/>
      <c r="O40" s="20" t="str">
        <f t="shared" ca="1" si="2"/>
        <v/>
      </c>
      <c r="P40" s="16"/>
    </row>
    <row r="41" spans="1:16" x14ac:dyDescent="0.3">
      <c r="A41" s="15" t="str">
        <f t="shared" si="0"/>
        <v/>
      </c>
      <c r="B41" s="16"/>
      <c r="C41" s="16"/>
      <c r="D41" s="16"/>
      <c r="E41" s="17"/>
      <c r="F41" s="16"/>
      <c r="G41" s="16"/>
      <c r="H41" s="16"/>
      <c r="I41" s="18"/>
      <c r="J41" s="18"/>
      <c r="K41" s="19" t="str">
        <f t="shared" si="1"/>
        <v/>
      </c>
      <c r="L41" s="16"/>
      <c r="M41" s="16"/>
      <c r="N41" s="16"/>
      <c r="O41" s="20" t="str">
        <f t="shared" ca="1" si="2"/>
        <v/>
      </c>
      <c r="P41" s="16"/>
    </row>
    <row r="42" spans="1:16" x14ac:dyDescent="0.3">
      <c r="A42" s="15" t="str">
        <f t="shared" si="0"/>
        <v/>
      </c>
      <c r="B42" s="16"/>
      <c r="C42" s="16"/>
      <c r="D42" s="16"/>
      <c r="E42" s="17"/>
      <c r="F42" s="16"/>
      <c r="G42" s="16"/>
      <c r="H42" s="16"/>
      <c r="I42" s="18"/>
      <c r="J42" s="18"/>
      <c r="K42" s="19" t="str">
        <f t="shared" si="1"/>
        <v/>
      </c>
      <c r="L42" s="16"/>
      <c r="M42" s="16"/>
      <c r="N42" s="16"/>
      <c r="O42" s="20" t="str">
        <f t="shared" ca="1" si="2"/>
        <v/>
      </c>
      <c r="P42" s="16"/>
    </row>
    <row r="43" spans="1:16" x14ac:dyDescent="0.3">
      <c r="A43" s="15" t="str">
        <f t="shared" si="0"/>
        <v/>
      </c>
      <c r="B43" s="16"/>
      <c r="C43" s="16"/>
      <c r="D43" s="16"/>
      <c r="E43" s="17"/>
      <c r="F43" s="16"/>
      <c r="G43" s="16"/>
      <c r="H43" s="16"/>
      <c r="I43" s="18"/>
      <c r="J43" s="18"/>
      <c r="K43" s="19" t="str">
        <f t="shared" si="1"/>
        <v/>
      </c>
      <c r="L43" s="16"/>
      <c r="M43" s="16"/>
      <c r="N43" s="16"/>
      <c r="O43" s="20" t="str">
        <f t="shared" ca="1" si="2"/>
        <v/>
      </c>
      <c r="P43" s="16"/>
    </row>
    <row r="44" spans="1:16" x14ac:dyDescent="0.3">
      <c r="A44" s="15" t="str">
        <f t="shared" si="0"/>
        <v/>
      </c>
      <c r="B44" s="16"/>
      <c r="C44" s="16"/>
      <c r="D44" s="16"/>
      <c r="E44" s="17"/>
      <c r="F44" s="16"/>
      <c r="G44" s="16"/>
      <c r="H44" s="16"/>
      <c r="I44" s="18"/>
      <c r="J44" s="18"/>
      <c r="K44" s="19" t="str">
        <f t="shared" si="1"/>
        <v/>
      </c>
      <c r="L44" s="16"/>
      <c r="M44" s="16"/>
      <c r="N44" s="16"/>
      <c r="O44" s="20" t="str">
        <f t="shared" ca="1" si="2"/>
        <v/>
      </c>
      <c r="P44" s="16"/>
    </row>
    <row r="45" spans="1:16" x14ac:dyDescent="0.3">
      <c r="A45" s="15" t="str">
        <f t="shared" si="0"/>
        <v/>
      </c>
      <c r="B45" s="16"/>
      <c r="C45" s="16"/>
      <c r="D45" s="16"/>
      <c r="E45" s="17"/>
      <c r="F45" s="16"/>
      <c r="G45" s="16"/>
      <c r="H45" s="16"/>
      <c r="I45" s="18"/>
      <c r="J45" s="18"/>
      <c r="K45" s="19" t="str">
        <f t="shared" si="1"/>
        <v/>
      </c>
      <c r="L45" s="16"/>
      <c r="M45" s="16"/>
      <c r="N45" s="16"/>
      <c r="O45" s="20" t="str">
        <f t="shared" ca="1" si="2"/>
        <v/>
      </c>
      <c r="P45" s="16"/>
    </row>
    <row r="46" spans="1:16" x14ac:dyDescent="0.3">
      <c r="A46" s="15" t="str">
        <f t="shared" si="0"/>
        <v/>
      </c>
      <c r="B46" s="16"/>
      <c r="C46" s="16"/>
      <c r="D46" s="16"/>
      <c r="E46" s="17"/>
      <c r="F46" s="16"/>
      <c r="G46" s="16"/>
      <c r="H46" s="16"/>
      <c r="I46" s="18"/>
      <c r="J46" s="18"/>
      <c r="K46" s="19" t="str">
        <f t="shared" si="1"/>
        <v/>
      </c>
      <c r="L46" s="16"/>
      <c r="M46" s="16"/>
      <c r="N46" s="16"/>
      <c r="O46" s="20" t="str">
        <f t="shared" ca="1" si="2"/>
        <v/>
      </c>
      <c r="P46" s="16"/>
    </row>
    <row r="47" spans="1:16" x14ac:dyDescent="0.3">
      <c r="A47" s="15" t="str">
        <f t="shared" si="0"/>
        <v/>
      </c>
      <c r="B47" s="16"/>
      <c r="C47" s="16"/>
      <c r="D47" s="16"/>
      <c r="E47" s="17"/>
      <c r="F47" s="16"/>
      <c r="G47" s="16"/>
      <c r="H47" s="16"/>
      <c r="I47" s="18"/>
      <c r="J47" s="18"/>
      <c r="K47" s="19" t="str">
        <f t="shared" si="1"/>
        <v/>
      </c>
      <c r="L47" s="16"/>
      <c r="M47" s="16"/>
      <c r="N47" s="16"/>
      <c r="O47" s="20" t="str">
        <f t="shared" ca="1" si="2"/>
        <v/>
      </c>
      <c r="P47" s="16"/>
    </row>
    <row r="48" spans="1:16" x14ac:dyDescent="0.3">
      <c r="A48" s="15" t="str">
        <f t="shared" si="0"/>
        <v/>
      </c>
      <c r="B48" s="16"/>
      <c r="C48" s="16"/>
      <c r="D48" s="16"/>
      <c r="E48" s="17"/>
      <c r="F48" s="16"/>
      <c r="G48" s="16"/>
      <c r="H48" s="16"/>
      <c r="I48" s="18"/>
      <c r="J48" s="18"/>
      <c r="K48" s="19" t="str">
        <f t="shared" si="1"/>
        <v/>
      </c>
      <c r="L48" s="16"/>
      <c r="M48" s="16"/>
      <c r="N48" s="16"/>
      <c r="O48" s="20" t="str">
        <f t="shared" ca="1" si="2"/>
        <v/>
      </c>
      <c r="P48" s="16"/>
    </row>
    <row r="49" spans="1:16" x14ac:dyDescent="0.3">
      <c r="A49" s="15" t="str">
        <f t="shared" si="0"/>
        <v/>
      </c>
      <c r="B49" s="16"/>
      <c r="C49" s="16"/>
      <c r="D49" s="16"/>
      <c r="E49" s="17"/>
      <c r="F49" s="16"/>
      <c r="G49" s="16"/>
      <c r="H49" s="16"/>
      <c r="I49" s="18"/>
      <c r="J49" s="18"/>
      <c r="K49" s="19" t="str">
        <f t="shared" si="1"/>
        <v/>
      </c>
      <c r="L49" s="16"/>
      <c r="M49" s="16"/>
      <c r="N49" s="16"/>
      <c r="O49" s="20" t="str">
        <f t="shared" ca="1" si="2"/>
        <v/>
      </c>
      <c r="P49" s="16"/>
    </row>
    <row r="50" spans="1:16" x14ac:dyDescent="0.3">
      <c r="A50" s="15" t="str">
        <f t="shared" si="0"/>
        <v/>
      </c>
      <c r="B50" s="16"/>
      <c r="C50" s="16"/>
      <c r="D50" s="16"/>
      <c r="E50" s="17"/>
      <c r="F50" s="16"/>
      <c r="G50" s="16"/>
      <c r="H50" s="16"/>
      <c r="I50" s="18"/>
      <c r="J50" s="18"/>
      <c r="K50" s="19" t="str">
        <f t="shared" si="1"/>
        <v/>
      </c>
      <c r="L50" s="16"/>
      <c r="M50" s="16"/>
      <c r="N50" s="16"/>
      <c r="O50" s="20" t="str">
        <f t="shared" ca="1" si="2"/>
        <v/>
      </c>
      <c r="P50" s="16"/>
    </row>
    <row r="51" spans="1:16" x14ac:dyDescent="0.3">
      <c r="A51" s="15" t="str">
        <f t="shared" si="0"/>
        <v/>
      </c>
      <c r="B51" s="16"/>
      <c r="C51" s="16"/>
      <c r="D51" s="16"/>
      <c r="E51" s="17"/>
      <c r="F51" s="16"/>
      <c r="G51" s="16"/>
      <c r="H51" s="16"/>
      <c r="I51" s="18"/>
      <c r="J51" s="18"/>
      <c r="K51" s="19" t="str">
        <f t="shared" si="1"/>
        <v/>
      </c>
      <c r="L51" s="16"/>
      <c r="M51" s="16"/>
      <c r="N51" s="16"/>
      <c r="O51" s="20" t="str">
        <f t="shared" ca="1" si="2"/>
        <v/>
      </c>
      <c r="P51" s="16"/>
    </row>
    <row r="52" spans="1:16" x14ac:dyDescent="0.3">
      <c r="A52" s="15" t="str">
        <f t="shared" si="0"/>
        <v/>
      </c>
      <c r="B52" s="16"/>
      <c r="C52" s="16"/>
      <c r="D52" s="16"/>
      <c r="E52" s="17"/>
      <c r="F52" s="16"/>
      <c r="G52" s="16"/>
      <c r="H52" s="16"/>
      <c r="I52" s="18"/>
      <c r="J52" s="18"/>
      <c r="K52" s="19" t="str">
        <f t="shared" si="1"/>
        <v/>
      </c>
      <c r="L52" s="16"/>
      <c r="M52" s="16"/>
      <c r="N52" s="16"/>
      <c r="O52" s="20" t="str">
        <f t="shared" ca="1" si="2"/>
        <v/>
      </c>
      <c r="P52" s="16"/>
    </row>
    <row r="53" spans="1:16" x14ac:dyDescent="0.3">
      <c r="A53" s="15" t="str">
        <f t="shared" si="0"/>
        <v/>
      </c>
      <c r="B53" s="16"/>
      <c r="C53" s="16"/>
      <c r="D53" s="16"/>
      <c r="E53" s="17"/>
      <c r="F53" s="16"/>
      <c r="G53" s="16"/>
      <c r="H53" s="16"/>
      <c r="I53" s="18"/>
      <c r="J53" s="18"/>
      <c r="K53" s="19" t="str">
        <f t="shared" si="1"/>
        <v/>
      </c>
      <c r="L53" s="16"/>
      <c r="M53" s="16"/>
      <c r="N53" s="16"/>
      <c r="O53" s="20" t="str">
        <f t="shared" ca="1" si="2"/>
        <v/>
      </c>
      <c r="P53" s="16"/>
    </row>
    <row r="54" spans="1:16" x14ac:dyDescent="0.3">
      <c r="A54" s="15" t="str">
        <f t="shared" si="0"/>
        <v/>
      </c>
      <c r="B54" s="16"/>
      <c r="C54" s="16"/>
      <c r="D54" s="16"/>
      <c r="E54" s="17"/>
      <c r="F54" s="16"/>
      <c r="G54" s="16"/>
      <c r="H54" s="16"/>
      <c r="I54" s="18"/>
      <c r="J54" s="18"/>
      <c r="K54" s="19" t="str">
        <f t="shared" si="1"/>
        <v/>
      </c>
      <c r="L54" s="16"/>
      <c r="M54" s="16"/>
      <c r="N54" s="16"/>
      <c r="O54" s="20" t="str">
        <f t="shared" ca="1" si="2"/>
        <v/>
      </c>
      <c r="P54" s="16"/>
    </row>
    <row r="55" spans="1:16" x14ac:dyDescent="0.3">
      <c r="A55" s="15" t="str">
        <f t="shared" si="0"/>
        <v/>
      </c>
      <c r="B55" s="16"/>
      <c r="C55" s="16"/>
      <c r="D55" s="16"/>
      <c r="E55" s="17"/>
      <c r="F55" s="16"/>
      <c r="G55" s="16"/>
      <c r="H55" s="16"/>
      <c r="I55" s="18"/>
      <c r="J55" s="18"/>
      <c r="K55" s="19" t="str">
        <f t="shared" si="1"/>
        <v/>
      </c>
      <c r="L55" s="16"/>
      <c r="M55" s="16"/>
      <c r="N55" s="16"/>
      <c r="O55" s="20" t="str">
        <f t="shared" ca="1" si="2"/>
        <v/>
      </c>
      <c r="P55" s="16"/>
    </row>
    <row r="56" spans="1:16" x14ac:dyDescent="0.3">
      <c r="A56" s="15" t="str">
        <f t="shared" si="0"/>
        <v/>
      </c>
      <c r="B56" s="16"/>
      <c r="C56" s="16"/>
      <c r="D56" s="16"/>
      <c r="E56" s="17"/>
      <c r="F56" s="16"/>
      <c r="G56" s="16"/>
      <c r="H56" s="16"/>
      <c r="I56" s="18"/>
      <c r="J56" s="18"/>
      <c r="K56" s="19" t="str">
        <f t="shared" si="1"/>
        <v/>
      </c>
      <c r="L56" s="16"/>
      <c r="M56" s="16"/>
      <c r="N56" s="16"/>
      <c r="O56" s="20" t="str">
        <f t="shared" ca="1" si="2"/>
        <v/>
      </c>
      <c r="P56" s="16"/>
    </row>
    <row r="57" spans="1:16" x14ac:dyDescent="0.3">
      <c r="A57" s="15" t="str">
        <f t="shared" si="0"/>
        <v/>
      </c>
      <c r="B57" s="16"/>
      <c r="C57" s="16"/>
      <c r="D57" s="16"/>
      <c r="E57" s="17"/>
      <c r="F57" s="16"/>
      <c r="G57" s="16"/>
      <c r="H57" s="16"/>
      <c r="I57" s="18"/>
      <c r="J57" s="18"/>
      <c r="K57" s="19" t="str">
        <f t="shared" si="1"/>
        <v/>
      </c>
      <c r="L57" s="16"/>
      <c r="M57" s="16"/>
      <c r="N57" s="16"/>
      <c r="O57" s="20" t="str">
        <f t="shared" ca="1" si="2"/>
        <v/>
      </c>
      <c r="P57" s="16"/>
    </row>
    <row r="58" spans="1:16" x14ac:dyDescent="0.3">
      <c r="A58" s="15" t="str">
        <f t="shared" si="0"/>
        <v/>
      </c>
      <c r="B58" s="16"/>
      <c r="C58" s="16"/>
      <c r="D58" s="16"/>
      <c r="E58" s="17"/>
      <c r="F58" s="16"/>
      <c r="G58" s="16"/>
      <c r="H58" s="16"/>
      <c r="I58" s="18"/>
      <c r="J58" s="18"/>
      <c r="K58" s="19" t="str">
        <f t="shared" si="1"/>
        <v/>
      </c>
      <c r="L58" s="16"/>
      <c r="M58" s="16"/>
      <c r="N58" s="16"/>
      <c r="O58" s="20" t="str">
        <f t="shared" ca="1" si="2"/>
        <v/>
      </c>
      <c r="P58" s="16"/>
    </row>
    <row r="59" spans="1:16" x14ac:dyDescent="0.3">
      <c r="A59" s="15" t="str">
        <f t="shared" si="0"/>
        <v/>
      </c>
      <c r="B59" s="16"/>
      <c r="C59" s="16"/>
      <c r="D59" s="16"/>
      <c r="E59" s="17"/>
      <c r="F59" s="16"/>
      <c r="G59" s="16"/>
      <c r="H59" s="16"/>
      <c r="I59" s="18"/>
      <c r="J59" s="18"/>
      <c r="K59" s="19" t="str">
        <f t="shared" si="1"/>
        <v/>
      </c>
      <c r="L59" s="16"/>
      <c r="M59" s="16"/>
      <c r="N59" s="16"/>
      <c r="O59" s="20" t="str">
        <f t="shared" ca="1" si="2"/>
        <v/>
      </c>
      <c r="P59" s="16"/>
    </row>
    <row r="60" spans="1:16" x14ac:dyDescent="0.3">
      <c r="A60" s="15" t="str">
        <f t="shared" si="0"/>
        <v/>
      </c>
      <c r="B60" s="16"/>
      <c r="C60" s="16"/>
      <c r="D60" s="16"/>
      <c r="E60" s="17"/>
      <c r="F60" s="16"/>
      <c r="G60" s="16"/>
      <c r="H60" s="16"/>
      <c r="I60" s="18"/>
      <c r="J60" s="18"/>
      <c r="K60" s="19" t="str">
        <f t="shared" si="1"/>
        <v/>
      </c>
      <c r="L60" s="16"/>
      <c r="M60" s="16"/>
      <c r="N60" s="16"/>
      <c r="O60" s="20" t="str">
        <f t="shared" ca="1" si="2"/>
        <v/>
      </c>
      <c r="P60" s="16"/>
    </row>
    <row r="61" spans="1:16" x14ac:dyDescent="0.3">
      <c r="A61" s="15" t="str">
        <f t="shared" si="0"/>
        <v/>
      </c>
      <c r="B61" s="16"/>
      <c r="C61" s="16"/>
      <c r="D61" s="16"/>
      <c r="E61" s="17"/>
      <c r="F61" s="16"/>
      <c r="G61" s="16"/>
      <c r="H61" s="16"/>
      <c r="I61" s="18"/>
      <c r="J61" s="18"/>
      <c r="K61" s="19" t="str">
        <f t="shared" si="1"/>
        <v/>
      </c>
      <c r="L61" s="16"/>
      <c r="M61" s="16"/>
      <c r="N61" s="16"/>
      <c r="O61" s="20" t="str">
        <f t="shared" ca="1" si="2"/>
        <v/>
      </c>
      <c r="P61" s="16"/>
    </row>
    <row r="62" spans="1:16" x14ac:dyDescent="0.3">
      <c r="A62" s="15" t="str">
        <f t="shared" si="0"/>
        <v/>
      </c>
      <c r="B62" s="16"/>
      <c r="C62" s="16"/>
      <c r="D62" s="16"/>
      <c r="E62" s="17"/>
      <c r="F62" s="16"/>
      <c r="G62" s="16"/>
      <c r="H62" s="16"/>
      <c r="I62" s="18"/>
      <c r="J62" s="18"/>
      <c r="K62" s="19" t="str">
        <f t="shared" si="1"/>
        <v/>
      </c>
      <c r="L62" s="16"/>
      <c r="M62" s="16"/>
      <c r="N62" s="16"/>
      <c r="O62" s="20" t="str">
        <f t="shared" ca="1" si="2"/>
        <v/>
      </c>
      <c r="P62" s="16"/>
    </row>
    <row r="63" spans="1:16" x14ac:dyDescent="0.3">
      <c r="A63" s="15" t="str">
        <f t="shared" si="0"/>
        <v/>
      </c>
      <c r="B63" s="16"/>
      <c r="C63" s="16"/>
      <c r="D63" s="16"/>
      <c r="E63" s="17"/>
      <c r="F63" s="16"/>
      <c r="G63" s="16"/>
      <c r="H63" s="16"/>
      <c r="I63" s="18"/>
      <c r="J63" s="18"/>
      <c r="K63" s="19" t="str">
        <f t="shared" si="1"/>
        <v/>
      </c>
      <c r="L63" s="16"/>
      <c r="M63" s="16"/>
      <c r="N63" s="16"/>
      <c r="O63" s="20" t="str">
        <f t="shared" ca="1" si="2"/>
        <v/>
      </c>
      <c r="P63" s="16"/>
    </row>
    <row r="64" spans="1:16" x14ac:dyDescent="0.3">
      <c r="A64" s="15" t="str">
        <f t="shared" si="0"/>
        <v/>
      </c>
      <c r="B64" s="16"/>
      <c r="C64" s="16"/>
      <c r="D64" s="16"/>
      <c r="E64" s="17"/>
      <c r="F64" s="16"/>
      <c r="G64" s="16"/>
      <c r="H64" s="16"/>
      <c r="I64" s="18"/>
      <c r="J64" s="18"/>
      <c r="K64" s="19" t="str">
        <f t="shared" si="1"/>
        <v/>
      </c>
      <c r="L64" s="16"/>
      <c r="M64" s="16"/>
      <c r="N64" s="16"/>
      <c r="O64" s="20" t="str">
        <f t="shared" ca="1" si="2"/>
        <v/>
      </c>
      <c r="P64" s="16"/>
    </row>
    <row r="65" spans="1:16" x14ac:dyDescent="0.3">
      <c r="A65" s="15" t="str">
        <f t="shared" si="0"/>
        <v/>
      </c>
      <c r="B65" s="16"/>
      <c r="C65" s="16"/>
      <c r="D65" s="16"/>
      <c r="E65" s="17"/>
      <c r="F65" s="16"/>
      <c r="G65" s="16"/>
      <c r="H65" s="16"/>
      <c r="I65" s="18"/>
      <c r="J65" s="18"/>
      <c r="K65" s="19" t="str">
        <f t="shared" si="1"/>
        <v/>
      </c>
      <c r="L65" s="16"/>
      <c r="M65" s="16"/>
      <c r="N65" s="16"/>
      <c r="O65" s="20" t="str">
        <f t="shared" ca="1" si="2"/>
        <v/>
      </c>
      <c r="P65" s="16"/>
    </row>
    <row r="66" spans="1:16" x14ac:dyDescent="0.3">
      <c r="A66" s="15" t="str">
        <f t="shared" ref="A66:A129" si="3">IF(B66="","","JOB-"&amp;TEXT(ROW()-1,"0000"))</f>
        <v/>
      </c>
      <c r="B66" s="16"/>
      <c r="C66" s="16"/>
      <c r="D66" s="16"/>
      <c r="E66" s="17"/>
      <c r="F66" s="16"/>
      <c r="G66" s="16"/>
      <c r="H66" s="16"/>
      <c r="I66" s="18"/>
      <c r="J66" s="18"/>
      <c r="K66" s="19" t="str">
        <f t="shared" ref="K66:K129" si="4">IF(B66="","",IF(H66="paid",0,MAX(0,I66-J66)))</f>
        <v/>
      </c>
      <c r="L66" s="16"/>
      <c r="M66" s="16"/>
      <c r="N66" s="16"/>
      <c r="O66" s="20" t="str">
        <f t="shared" ref="O66:O129" ca="1" si="5">IF(B66="","",TODAY())</f>
        <v/>
      </c>
      <c r="P66" s="16"/>
    </row>
    <row r="67" spans="1:16" x14ac:dyDescent="0.3">
      <c r="A67" s="15" t="str">
        <f t="shared" si="3"/>
        <v/>
      </c>
      <c r="B67" s="16"/>
      <c r="C67" s="16"/>
      <c r="D67" s="16"/>
      <c r="E67" s="17"/>
      <c r="F67" s="16"/>
      <c r="G67" s="16"/>
      <c r="H67" s="16"/>
      <c r="I67" s="18"/>
      <c r="J67" s="18"/>
      <c r="K67" s="19" t="str">
        <f t="shared" si="4"/>
        <v/>
      </c>
      <c r="L67" s="16"/>
      <c r="M67" s="16"/>
      <c r="N67" s="16"/>
      <c r="O67" s="20" t="str">
        <f t="shared" ca="1" si="5"/>
        <v/>
      </c>
      <c r="P67" s="16"/>
    </row>
    <row r="68" spans="1:16" x14ac:dyDescent="0.3">
      <c r="A68" s="15" t="str">
        <f t="shared" si="3"/>
        <v/>
      </c>
      <c r="B68" s="16"/>
      <c r="C68" s="16"/>
      <c r="D68" s="16"/>
      <c r="E68" s="17"/>
      <c r="F68" s="16"/>
      <c r="G68" s="16"/>
      <c r="H68" s="16"/>
      <c r="I68" s="18"/>
      <c r="J68" s="18"/>
      <c r="K68" s="19" t="str">
        <f t="shared" si="4"/>
        <v/>
      </c>
      <c r="L68" s="16"/>
      <c r="M68" s="16"/>
      <c r="N68" s="16"/>
      <c r="O68" s="20" t="str">
        <f t="shared" ca="1" si="5"/>
        <v/>
      </c>
      <c r="P68" s="16"/>
    </row>
    <row r="69" spans="1:16" x14ac:dyDescent="0.3">
      <c r="A69" s="15" t="str">
        <f t="shared" si="3"/>
        <v/>
      </c>
      <c r="B69" s="16"/>
      <c r="C69" s="16"/>
      <c r="D69" s="16"/>
      <c r="E69" s="17"/>
      <c r="F69" s="16"/>
      <c r="G69" s="16"/>
      <c r="H69" s="16"/>
      <c r="I69" s="18"/>
      <c r="J69" s="18"/>
      <c r="K69" s="19" t="str">
        <f t="shared" si="4"/>
        <v/>
      </c>
      <c r="L69" s="16"/>
      <c r="M69" s="16"/>
      <c r="N69" s="16"/>
      <c r="O69" s="20" t="str">
        <f t="shared" ca="1" si="5"/>
        <v/>
      </c>
      <c r="P69" s="16"/>
    </row>
    <row r="70" spans="1:16" x14ac:dyDescent="0.3">
      <c r="A70" s="15" t="str">
        <f t="shared" si="3"/>
        <v/>
      </c>
      <c r="B70" s="16"/>
      <c r="C70" s="16"/>
      <c r="D70" s="16"/>
      <c r="E70" s="17"/>
      <c r="F70" s="16"/>
      <c r="G70" s="16"/>
      <c r="H70" s="16"/>
      <c r="I70" s="18"/>
      <c r="J70" s="18"/>
      <c r="K70" s="19" t="str">
        <f t="shared" si="4"/>
        <v/>
      </c>
      <c r="L70" s="16"/>
      <c r="M70" s="16"/>
      <c r="N70" s="16"/>
      <c r="O70" s="20" t="str">
        <f t="shared" ca="1" si="5"/>
        <v/>
      </c>
      <c r="P70" s="16"/>
    </row>
    <row r="71" spans="1:16" x14ac:dyDescent="0.3">
      <c r="A71" s="15" t="str">
        <f t="shared" si="3"/>
        <v/>
      </c>
      <c r="B71" s="16"/>
      <c r="C71" s="16"/>
      <c r="D71" s="16"/>
      <c r="E71" s="17"/>
      <c r="F71" s="16"/>
      <c r="G71" s="16"/>
      <c r="H71" s="16"/>
      <c r="I71" s="18"/>
      <c r="J71" s="18"/>
      <c r="K71" s="19" t="str">
        <f t="shared" si="4"/>
        <v/>
      </c>
      <c r="L71" s="16"/>
      <c r="M71" s="16"/>
      <c r="N71" s="16"/>
      <c r="O71" s="20" t="str">
        <f t="shared" ca="1" si="5"/>
        <v/>
      </c>
      <c r="P71" s="16"/>
    </row>
    <row r="72" spans="1:16" x14ac:dyDescent="0.3">
      <c r="A72" s="15" t="str">
        <f t="shared" si="3"/>
        <v/>
      </c>
      <c r="B72" s="16"/>
      <c r="C72" s="16"/>
      <c r="D72" s="16"/>
      <c r="E72" s="17"/>
      <c r="F72" s="16"/>
      <c r="G72" s="16"/>
      <c r="H72" s="16"/>
      <c r="I72" s="18"/>
      <c r="J72" s="18"/>
      <c r="K72" s="19" t="str">
        <f t="shared" si="4"/>
        <v/>
      </c>
      <c r="L72" s="16"/>
      <c r="M72" s="16"/>
      <c r="N72" s="16"/>
      <c r="O72" s="20" t="str">
        <f t="shared" ca="1" si="5"/>
        <v/>
      </c>
      <c r="P72" s="16"/>
    </row>
    <row r="73" spans="1:16" x14ac:dyDescent="0.3">
      <c r="A73" s="15" t="str">
        <f t="shared" si="3"/>
        <v/>
      </c>
      <c r="B73" s="16"/>
      <c r="C73" s="16"/>
      <c r="D73" s="16"/>
      <c r="E73" s="17"/>
      <c r="F73" s="16"/>
      <c r="G73" s="16"/>
      <c r="H73" s="16"/>
      <c r="I73" s="18"/>
      <c r="J73" s="18"/>
      <c r="K73" s="19" t="str">
        <f t="shared" si="4"/>
        <v/>
      </c>
      <c r="L73" s="16"/>
      <c r="M73" s="16"/>
      <c r="N73" s="16"/>
      <c r="O73" s="20" t="str">
        <f t="shared" ca="1" si="5"/>
        <v/>
      </c>
      <c r="P73" s="16"/>
    </row>
    <row r="74" spans="1:16" x14ac:dyDescent="0.3">
      <c r="A74" s="15" t="str">
        <f t="shared" si="3"/>
        <v/>
      </c>
      <c r="B74" s="16"/>
      <c r="C74" s="16"/>
      <c r="D74" s="16"/>
      <c r="E74" s="17"/>
      <c r="F74" s="16"/>
      <c r="G74" s="16"/>
      <c r="H74" s="16"/>
      <c r="I74" s="18"/>
      <c r="J74" s="18"/>
      <c r="K74" s="19" t="str">
        <f t="shared" si="4"/>
        <v/>
      </c>
      <c r="L74" s="16"/>
      <c r="M74" s="16"/>
      <c r="N74" s="16"/>
      <c r="O74" s="20" t="str">
        <f t="shared" ca="1" si="5"/>
        <v/>
      </c>
      <c r="P74" s="16"/>
    </row>
    <row r="75" spans="1:16" x14ac:dyDescent="0.3">
      <c r="A75" s="15" t="str">
        <f t="shared" si="3"/>
        <v/>
      </c>
      <c r="B75" s="16"/>
      <c r="C75" s="16"/>
      <c r="D75" s="16"/>
      <c r="E75" s="17"/>
      <c r="F75" s="16"/>
      <c r="G75" s="16"/>
      <c r="H75" s="16"/>
      <c r="I75" s="18"/>
      <c r="J75" s="18"/>
      <c r="K75" s="19" t="str">
        <f t="shared" si="4"/>
        <v/>
      </c>
      <c r="L75" s="16"/>
      <c r="M75" s="16"/>
      <c r="N75" s="16"/>
      <c r="O75" s="20" t="str">
        <f t="shared" ca="1" si="5"/>
        <v/>
      </c>
      <c r="P75" s="16"/>
    </row>
    <row r="76" spans="1:16" x14ac:dyDescent="0.3">
      <c r="A76" s="15" t="str">
        <f t="shared" si="3"/>
        <v/>
      </c>
      <c r="B76" s="16"/>
      <c r="C76" s="16"/>
      <c r="D76" s="16"/>
      <c r="E76" s="17"/>
      <c r="F76" s="16"/>
      <c r="G76" s="16"/>
      <c r="H76" s="16"/>
      <c r="I76" s="18"/>
      <c r="J76" s="18"/>
      <c r="K76" s="19" t="str">
        <f t="shared" si="4"/>
        <v/>
      </c>
      <c r="L76" s="16"/>
      <c r="M76" s="16"/>
      <c r="N76" s="16"/>
      <c r="O76" s="20" t="str">
        <f t="shared" ca="1" si="5"/>
        <v/>
      </c>
      <c r="P76" s="16"/>
    </row>
    <row r="77" spans="1:16" x14ac:dyDescent="0.3">
      <c r="A77" s="15" t="str">
        <f t="shared" si="3"/>
        <v/>
      </c>
      <c r="B77" s="16"/>
      <c r="C77" s="16"/>
      <c r="D77" s="16"/>
      <c r="E77" s="17"/>
      <c r="F77" s="16"/>
      <c r="G77" s="16"/>
      <c r="H77" s="16"/>
      <c r="I77" s="18"/>
      <c r="J77" s="18"/>
      <c r="K77" s="19" t="str">
        <f t="shared" si="4"/>
        <v/>
      </c>
      <c r="L77" s="16"/>
      <c r="M77" s="16"/>
      <c r="N77" s="16"/>
      <c r="O77" s="20" t="str">
        <f t="shared" ca="1" si="5"/>
        <v/>
      </c>
      <c r="P77" s="16"/>
    </row>
    <row r="78" spans="1:16" x14ac:dyDescent="0.3">
      <c r="A78" s="15" t="str">
        <f t="shared" si="3"/>
        <v/>
      </c>
      <c r="B78" s="16"/>
      <c r="C78" s="16"/>
      <c r="D78" s="16"/>
      <c r="E78" s="17"/>
      <c r="F78" s="16"/>
      <c r="G78" s="16"/>
      <c r="H78" s="16"/>
      <c r="I78" s="18"/>
      <c r="J78" s="18"/>
      <c r="K78" s="19" t="str">
        <f t="shared" si="4"/>
        <v/>
      </c>
      <c r="L78" s="16"/>
      <c r="M78" s="16"/>
      <c r="N78" s="16"/>
      <c r="O78" s="20" t="str">
        <f t="shared" ca="1" si="5"/>
        <v/>
      </c>
      <c r="P78" s="16"/>
    </row>
    <row r="79" spans="1:16" x14ac:dyDescent="0.3">
      <c r="A79" s="15" t="str">
        <f t="shared" si="3"/>
        <v/>
      </c>
      <c r="B79" s="16"/>
      <c r="C79" s="16"/>
      <c r="D79" s="16"/>
      <c r="E79" s="17"/>
      <c r="F79" s="16"/>
      <c r="G79" s="16"/>
      <c r="H79" s="16"/>
      <c r="I79" s="18"/>
      <c r="J79" s="18"/>
      <c r="K79" s="19" t="str">
        <f t="shared" si="4"/>
        <v/>
      </c>
      <c r="L79" s="16"/>
      <c r="M79" s="16"/>
      <c r="N79" s="16"/>
      <c r="O79" s="20" t="str">
        <f t="shared" ca="1" si="5"/>
        <v/>
      </c>
      <c r="P79" s="16"/>
    </row>
    <row r="80" spans="1:16" x14ac:dyDescent="0.3">
      <c r="A80" s="15" t="str">
        <f t="shared" si="3"/>
        <v/>
      </c>
      <c r="B80" s="16"/>
      <c r="C80" s="16"/>
      <c r="D80" s="16"/>
      <c r="E80" s="17"/>
      <c r="F80" s="16"/>
      <c r="G80" s="16"/>
      <c r="H80" s="16"/>
      <c r="I80" s="18"/>
      <c r="J80" s="18"/>
      <c r="K80" s="19" t="str">
        <f t="shared" si="4"/>
        <v/>
      </c>
      <c r="L80" s="16"/>
      <c r="M80" s="16"/>
      <c r="N80" s="16"/>
      <c r="O80" s="20" t="str">
        <f t="shared" ca="1" si="5"/>
        <v/>
      </c>
      <c r="P80" s="16"/>
    </row>
    <row r="81" spans="1:16" x14ac:dyDescent="0.3">
      <c r="A81" s="15" t="str">
        <f t="shared" si="3"/>
        <v/>
      </c>
      <c r="B81" s="16"/>
      <c r="C81" s="16"/>
      <c r="D81" s="16"/>
      <c r="E81" s="17"/>
      <c r="F81" s="16"/>
      <c r="G81" s="16"/>
      <c r="H81" s="16"/>
      <c r="I81" s="18"/>
      <c r="J81" s="18"/>
      <c r="K81" s="19" t="str">
        <f t="shared" si="4"/>
        <v/>
      </c>
      <c r="L81" s="16"/>
      <c r="M81" s="16"/>
      <c r="N81" s="16"/>
      <c r="O81" s="20" t="str">
        <f t="shared" ca="1" si="5"/>
        <v/>
      </c>
      <c r="P81" s="16"/>
    </row>
    <row r="82" spans="1:16" x14ac:dyDescent="0.3">
      <c r="A82" s="15" t="str">
        <f t="shared" si="3"/>
        <v/>
      </c>
      <c r="B82" s="16"/>
      <c r="C82" s="16"/>
      <c r="D82" s="16"/>
      <c r="E82" s="17"/>
      <c r="F82" s="16"/>
      <c r="G82" s="16"/>
      <c r="H82" s="16"/>
      <c r="I82" s="18"/>
      <c r="J82" s="18"/>
      <c r="K82" s="19" t="str">
        <f t="shared" si="4"/>
        <v/>
      </c>
      <c r="L82" s="16"/>
      <c r="M82" s="16"/>
      <c r="N82" s="16"/>
      <c r="O82" s="20" t="str">
        <f t="shared" ca="1" si="5"/>
        <v/>
      </c>
      <c r="P82" s="16"/>
    </row>
    <row r="83" spans="1:16" x14ac:dyDescent="0.3">
      <c r="A83" s="15" t="str">
        <f t="shared" si="3"/>
        <v/>
      </c>
      <c r="B83" s="16"/>
      <c r="C83" s="16"/>
      <c r="D83" s="16"/>
      <c r="E83" s="17"/>
      <c r="F83" s="16"/>
      <c r="G83" s="16"/>
      <c r="H83" s="16"/>
      <c r="I83" s="18"/>
      <c r="J83" s="18"/>
      <c r="K83" s="19" t="str">
        <f t="shared" si="4"/>
        <v/>
      </c>
      <c r="L83" s="16"/>
      <c r="M83" s="16"/>
      <c r="N83" s="16"/>
      <c r="O83" s="20" t="str">
        <f t="shared" ca="1" si="5"/>
        <v/>
      </c>
      <c r="P83" s="16"/>
    </row>
    <row r="84" spans="1:16" x14ac:dyDescent="0.3">
      <c r="A84" s="15" t="str">
        <f t="shared" si="3"/>
        <v/>
      </c>
      <c r="B84" s="16"/>
      <c r="C84" s="16"/>
      <c r="D84" s="16"/>
      <c r="E84" s="17"/>
      <c r="F84" s="16"/>
      <c r="G84" s="16"/>
      <c r="H84" s="16"/>
      <c r="I84" s="18"/>
      <c r="J84" s="18"/>
      <c r="K84" s="19" t="str">
        <f t="shared" si="4"/>
        <v/>
      </c>
      <c r="L84" s="16"/>
      <c r="M84" s="16"/>
      <c r="N84" s="16"/>
      <c r="O84" s="20" t="str">
        <f t="shared" ca="1" si="5"/>
        <v/>
      </c>
      <c r="P84" s="16"/>
    </row>
    <row r="85" spans="1:16" x14ac:dyDescent="0.3">
      <c r="A85" s="15" t="str">
        <f t="shared" si="3"/>
        <v/>
      </c>
      <c r="B85" s="16"/>
      <c r="C85" s="16"/>
      <c r="D85" s="16"/>
      <c r="E85" s="17"/>
      <c r="F85" s="16"/>
      <c r="G85" s="16"/>
      <c r="H85" s="16"/>
      <c r="I85" s="18"/>
      <c r="J85" s="18"/>
      <c r="K85" s="19" t="str">
        <f t="shared" si="4"/>
        <v/>
      </c>
      <c r="L85" s="16"/>
      <c r="M85" s="16"/>
      <c r="N85" s="16"/>
      <c r="O85" s="20" t="str">
        <f t="shared" ca="1" si="5"/>
        <v/>
      </c>
      <c r="P85" s="16"/>
    </row>
    <row r="86" spans="1:16" x14ac:dyDescent="0.3">
      <c r="A86" s="15" t="str">
        <f t="shared" si="3"/>
        <v/>
      </c>
      <c r="B86" s="16"/>
      <c r="C86" s="16"/>
      <c r="D86" s="16"/>
      <c r="E86" s="17"/>
      <c r="F86" s="16"/>
      <c r="G86" s="16"/>
      <c r="H86" s="16"/>
      <c r="I86" s="18"/>
      <c r="J86" s="18"/>
      <c r="K86" s="19" t="str">
        <f t="shared" si="4"/>
        <v/>
      </c>
      <c r="L86" s="16"/>
      <c r="M86" s="16"/>
      <c r="N86" s="16"/>
      <c r="O86" s="20" t="str">
        <f t="shared" ca="1" si="5"/>
        <v/>
      </c>
      <c r="P86" s="16"/>
    </row>
    <row r="87" spans="1:16" x14ac:dyDescent="0.3">
      <c r="A87" s="15" t="str">
        <f t="shared" si="3"/>
        <v/>
      </c>
      <c r="B87" s="16"/>
      <c r="C87" s="16"/>
      <c r="D87" s="16"/>
      <c r="E87" s="17"/>
      <c r="F87" s="16"/>
      <c r="G87" s="16"/>
      <c r="H87" s="16"/>
      <c r="I87" s="18"/>
      <c r="J87" s="18"/>
      <c r="K87" s="19" t="str">
        <f t="shared" si="4"/>
        <v/>
      </c>
      <c r="L87" s="16"/>
      <c r="M87" s="16"/>
      <c r="N87" s="16"/>
      <c r="O87" s="20" t="str">
        <f t="shared" ca="1" si="5"/>
        <v/>
      </c>
      <c r="P87" s="16"/>
    </row>
    <row r="88" spans="1:16" x14ac:dyDescent="0.3">
      <c r="A88" s="15" t="str">
        <f t="shared" si="3"/>
        <v/>
      </c>
      <c r="B88" s="16"/>
      <c r="C88" s="16"/>
      <c r="D88" s="16"/>
      <c r="E88" s="17"/>
      <c r="F88" s="16"/>
      <c r="G88" s="16"/>
      <c r="H88" s="16"/>
      <c r="I88" s="18"/>
      <c r="J88" s="18"/>
      <c r="K88" s="19" t="str">
        <f t="shared" si="4"/>
        <v/>
      </c>
      <c r="L88" s="16"/>
      <c r="M88" s="16"/>
      <c r="N88" s="16"/>
      <c r="O88" s="20" t="str">
        <f t="shared" ca="1" si="5"/>
        <v/>
      </c>
      <c r="P88" s="16"/>
    </row>
    <row r="89" spans="1:16" x14ac:dyDescent="0.3">
      <c r="A89" s="15" t="str">
        <f t="shared" si="3"/>
        <v/>
      </c>
      <c r="B89" s="16"/>
      <c r="C89" s="16"/>
      <c r="D89" s="16"/>
      <c r="E89" s="17"/>
      <c r="F89" s="16"/>
      <c r="G89" s="16"/>
      <c r="H89" s="16"/>
      <c r="I89" s="18"/>
      <c r="J89" s="18"/>
      <c r="K89" s="19" t="str">
        <f t="shared" si="4"/>
        <v/>
      </c>
      <c r="L89" s="16"/>
      <c r="M89" s="16"/>
      <c r="N89" s="16"/>
      <c r="O89" s="20" t="str">
        <f t="shared" ca="1" si="5"/>
        <v/>
      </c>
      <c r="P89" s="16"/>
    </row>
    <row r="90" spans="1:16" x14ac:dyDescent="0.3">
      <c r="A90" s="15" t="str">
        <f t="shared" si="3"/>
        <v/>
      </c>
      <c r="B90" s="16"/>
      <c r="C90" s="16"/>
      <c r="D90" s="16"/>
      <c r="E90" s="17"/>
      <c r="F90" s="16"/>
      <c r="G90" s="16"/>
      <c r="H90" s="16"/>
      <c r="I90" s="18"/>
      <c r="J90" s="18"/>
      <c r="K90" s="19" t="str">
        <f t="shared" si="4"/>
        <v/>
      </c>
      <c r="L90" s="16"/>
      <c r="M90" s="16"/>
      <c r="N90" s="16"/>
      <c r="O90" s="20" t="str">
        <f t="shared" ca="1" si="5"/>
        <v/>
      </c>
      <c r="P90" s="16"/>
    </row>
    <row r="91" spans="1:16" x14ac:dyDescent="0.3">
      <c r="A91" s="15" t="str">
        <f t="shared" si="3"/>
        <v/>
      </c>
      <c r="B91" s="16"/>
      <c r="C91" s="16"/>
      <c r="D91" s="16"/>
      <c r="E91" s="17"/>
      <c r="F91" s="16"/>
      <c r="G91" s="16"/>
      <c r="H91" s="16"/>
      <c r="I91" s="18"/>
      <c r="J91" s="18"/>
      <c r="K91" s="19" t="str">
        <f t="shared" si="4"/>
        <v/>
      </c>
      <c r="L91" s="16"/>
      <c r="M91" s="16"/>
      <c r="N91" s="16"/>
      <c r="O91" s="20" t="str">
        <f t="shared" ca="1" si="5"/>
        <v/>
      </c>
      <c r="P91" s="16"/>
    </row>
    <row r="92" spans="1:16" x14ac:dyDescent="0.3">
      <c r="A92" s="15" t="str">
        <f t="shared" si="3"/>
        <v/>
      </c>
      <c r="B92" s="16"/>
      <c r="C92" s="16"/>
      <c r="D92" s="16"/>
      <c r="E92" s="17"/>
      <c r="F92" s="16"/>
      <c r="G92" s="16"/>
      <c r="H92" s="16"/>
      <c r="I92" s="18"/>
      <c r="J92" s="18"/>
      <c r="K92" s="19" t="str">
        <f t="shared" si="4"/>
        <v/>
      </c>
      <c r="L92" s="16"/>
      <c r="M92" s="16"/>
      <c r="N92" s="16"/>
      <c r="O92" s="20" t="str">
        <f t="shared" ca="1" si="5"/>
        <v/>
      </c>
      <c r="P92" s="16"/>
    </row>
    <row r="93" spans="1:16" x14ac:dyDescent="0.3">
      <c r="A93" s="15" t="str">
        <f t="shared" si="3"/>
        <v/>
      </c>
      <c r="B93" s="16"/>
      <c r="C93" s="16"/>
      <c r="D93" s="16"/>
      <c r="E93" s="17"/>
      <c r="F93" s="16"/>
      <c r="G93" s="16"/>
      <c r="H93" s="16"/>
      <c r="I93" s="18"/>
      <c r="J93" s="18"/>
      <c r="K93" s="19" t="str">
        <f t="shared" si="4"/>
        <v/>
      </c>
      <c r="L93" s="16"/>
      <c r="M93" s="16"/>
      <c r="N93" s="16"/>
      <c r="O93" s="20" t="str">
        <f t="shared" ca="1" si="5"/>
        <v/>
      </c>
      <c r="P93" s="16"/>
    </row>
    <row r="94" spans="1:16" x14ac:dyDescent="0.3">
      <c r="A94" s="15" t="str">
        <f t="shared" si="3"/>
        <v/>
      </c>
      <c r="B94" s="16"/>
      <c r="C94" s="16"/>
      <c r="D94" s="16"/>
      <c r="E94" s="17"/>
      <c r="F94" s="16"/>
      <c r="G94" s="16"/>
      <c r="H94" s="16"/>
      <c r="I94" s="18"/>
      <c r="J94" s="18"/>
      <c r="K94" s="19" t="str">
        <f t="shared" si="4"/>
        <v/>
      </c>
      <c r="L94" s="16"/>
      <c r="M94" s="16"/>
      <c r="N94" s="16"/>
      <c r="O94" s="20" t="str">
        <f t="shared" ca="1" si="5"/>
        <v/>
      </c>
      <c r="P94" s="16"/>
    </row>
    <row r="95" spans="1:16" x14ac:dyDescent="0.3">
      <c r="A95" s="15" t="str">
        <f t="shared" si="3"/>
        <v/>
      </c>
      <c r="B95" s="16"/>
      <c r="C95" s="16"/>
      <c r="D95" s="16"/>
      <c r="E95" s="17"/>
      <c r="F95" s="16"/>
      <c r="G95" s="16"/>
      <c r="H95" s="16"/>
      <c r="I95" s="18"/>
      <c r="J95" s="18"/>
      <c r="K95" s="19" t="str">
        <f t="shared" si="4"/>
        <v/>
      </c>
      <c r="L95" s="16"/>
      <c r="M95" s="16"/>
      <c r="N95" s="16"/>
      <c r="O95" s="20" t="str">
        <f t="shared" ca="1" si="5"/>
        <v/>
      </c>
      <c r="P95" s="16"/>
    </row>
    <row r="96" spans="1:16" x14ac:dyDescent="0.3">
      <c r="A96" s="15" t="str">
        <f t="shared" si="3"/>
        <v/>
      </c>
      <c r="B96" s="16"/>
      <c r="C96" s="16"/>
      <c r="D96" s="16"/>
      <c r="E96" s="17"/>
      <c r="F96" s="16"/>
      <c r="G96" s="16"/>
      <c r="H96" s="16"/>
      <c r="I96" s="18"/>
      <c r="J96" s="18"/>
      <c r="K96" s="19" t="str">
        <f t="shared" si="4"/>
        <v/>
      </c>
      <c r="L96" s="16"/>
      <c r="M96" s="16"/>
      <c r="N96" s="16"/>
      <c r="O96" s="20" t="str">
        <f t="shared" ca="1" si="5"/>
        <v/>
      </c>
      <c r="P96" s="16"/>
    </row>
    <row r="97" spans="1:16" x14ac:dyDescent="0.3">
      <c r="A97" s="15" t="str">
        <f t="shared" si="3"/>
        <v/>
      </c>
      <c r="B97" s="16"/>
      <c r="C97" s="16"/>
      <c r="D97" s="16"/>
      <c r="E97" s="17"/>
      <c r="F97" s="16"/>
      <c r="G97" s="16"/>
      <c r="H97" s="16"/>
      <c r="I97" s="18"/>
      <c r="J97" s="18"/>
      <c r="K97" s="19" t="str">
        <f t="shared" si="4"/>
        <v/>
      </c>
      <c r="L97" s="16"/>
      <c r="M97" s="16"/>
      <c r="N97" s="16"/>
      <c r="O97" s="20" t="str">
        <f t="shared" ca="1" si="5"/>
        <v/>
      </c>
      <c r="P97" s="16"/>
    </row>
    <row r="98" spans="1:16" x14ac:dyDescent="0.3">
      <c r="A98" s="15" t="str">
        <f t="shared" si="3"/>
        <v/>
      </c>
      <c r="B98" s="16"/>
      <c r="C98" s="16"/>
      <c r="D98" s="16"/>
      <c r="E98" s="17"/>
      <c r="F98" s="16"/>
      <c r="G98" s="16"/>
      <c r="H98" s="16"/>
      <c r="I98" s="18"/>
      <c r="J98" s="18"/>
      <c r="K98" s="19" t="str">
        <f t="shared" si="4"/>
        <v/>
      </c>
      <c r="L98" s="16"/>
      <c r="M98" s="16"/>
      <c r="N98" s="16"/>
      <c r="O98" s="20" t="str">
        <f t="shared" ca="1" si="5"/>
        <v/>
      </c>
      <c r="P98" s="16"/>
    </row>
    <row r="99" spans="1:16" x14ac:dyDescent="0.3">
      <c r="A99" s="15" t="str">
        <f t="shared" si="3"/>
        <v/>
      </c>
      <c r="B99" s="16"/>
      <c r="C99" s="16"/>
      <c r="D99" s="16"/>
      <c r="E99" s="17"/>
      <c r="F99" s="16"/>
      <c r="G99" s="16"/>
      <c r="H99" s="16"/>
      <c r="I99" s="18"/>
      <c r="J99" s="18"/>
      <c r="K99" s="19" t="str">
        <f t="shared" si="4"/>
        <v/>
      </c>
      <c r="L99" s="16"/>
      <c r="M99" s="16"/>
      <c r="N99" s="16"/>
      <c r="O99" s="20" t="str">
        <f t="shared" ca="1" si="5"/>
        <v/>
      </c>
      <c r="P99" s="16"/>
    </row>
    <row r="100" spans="1:16" x14ac:dyDescent="0.3">
      <c r="A100" s="15" t="str">
        <f t="shared" si="3"/>
        <v/>
      </c>
      <c r="B100" s="16"/>
      <c r="C100" s="16"/>
      <c r="D100" s="16"/>
      <c r="E100" s="17"/>
      <c r="F100" s="16"/>
      <c r="G100" s="16"/>
      <c r="H100" s="16"/>
      <c r="I100" s="18"/>
      <c r="J100" s="18"/>
      <c r="K100" s="19" t="str">
        <f t="shared" si="4"/>
        <v/>
      </c>
      <c r="L100" s="16"/>
      <c r="M100" s="16"/>
      <c r="N100" s="16"/>
      <c r="O100" s="20" t="str">
        <f t="shared" ca="1" si="5"/>
        <v/>
      </c>
      <c r="P100" s="16"/>
    </row>
    <row r="101" spans="1:16" x14ac:dyDescent="0.3">
      <c r="A101" s="15" t="str">
        <f t="shared" si="3"/>
        <v/>
      </c>
      <c r="B101" s="16"/>
      <c r="C101" s="16"/>
      <c r="D101" s="16"/>
      <c r="E101" s="17"/>
      <c r="F101" s="16"/>
      <c r="G101" s="16"/>
      <c r="H101" s="16"/>
      <c r="I101" s="18"/>
      <c r="J101" s="18"/>
      <c r="K101" s="19" t="str">
        <f t="shared" si="4"/>
        <v/>
      </c>
      <c r="L101" s="16"/>
      <c r="M101" s="16"/>
      <c r="N101" s="16"/>
      <c r="O101" s="20" t="str">
        <f t="shared" ca="1" si="5"/>
        <v/>
      </c>
      <c r="P101" s="16"/>
    </row>
    <row r="102" spans="1:16" x14ac:dyDescent="0.3">
      <c r="A102" s="15" t="str">
        <f t="shared" si="3"/>
        <v/>
      </c>
      <c r="B102" s="16"/>
      <c r="C102" s="16"/>
      <c r="D102" s="16"/>
      <c r="E102" s="17"/>
      <c r="F102" s="16"/>
      <c r="G102" s="16"/>
      <c r="H102" s="16"/>
      <c r="I102" s="18"/>
      <c r="J102" s="18"/>
      <c r="K102" s="19" t="str">
        <f t="shared" si="4"/>
        <v/>
      </c>
      <c r="L102" s="16"/>
      <c r="M102" s="16"/>
      <c r="N102" s="16"/>
      <c r="O102" s="20" t="str">
        <f t="shared" ca="1" si="5"/>
        <v/>
      </c>
      <c r="P102" s="16"/>
    </row>
    <row r="103" spans="1:16" x14ac:dyDescent="0.3">
      <c r="A103" s="15" t="str">
        <f t="shared" si="3"/>
        <v/>
      </c>
      <c r="B103" s="16"/>
      <c r="C103" s="16"/>
      <c r="D103" s="16"/>
      <c r="E103" s="17"/>
      <c r="F103" s="16"/>
      <c r="G103" s="16"/>
      <c r="H103" s="16"/>
      <c r="I103" s="18"/>
      <c r="J103" s="18"/>
      <c r="K103" s="19" t="str">
        <f t="shared" si="4"/>
        <v/>
      </c>
      <c r="L103" s="16"/>
      <c r="M103" s="16"/>
      <c r="N103" s="16"/>
      <c r="O103" s="20" t="str">
        <f t="shared" ca="1" si="5"/>
        <v/>
      </c>
      <c r="P103" s="16"/>
    </row>
    <row r="104" spans="1:16" x14ac:dyDescent="0.3">
      <c r="A104" s="15" t="str">
        <f t="shared" si="3"/>
        <v/>
      </c>
      <c r="B104" s="16"/>
      <c r="C104" s="16"/>
      <c r="D104" s="16"/>
      <c r="E104" s="17"/>
      <c r="F104" s="16"/>
      <c r="G104" s="16"/>
      <c r="H104" s="16"/>
      <c r="I104" s="18"/>
      <c r="J104" s="18"/>
      <c r="K104" s="19" t="str">
        <f t="shared" si="4"/>
        <v/>
      </c>
      <c r="L104" s="16"/>
      <c r="M104" s="16"/>
      <c r="N104" s="16"/>
      <c r="O104" s="20" t="str">
        <f t="shared" ca="1" si="5"/>
        <v/>
      </c>
      <c r="P104" s="16"/>
    </row>
    <row r="105" spans="1:16" x14ac:dyDescent="0.3">
      <c r="A105" s="15" t="str">
        <f t="shared" si="3"/>
        <v/>
      </c>
      <c r="B105" s="16"/>
      <c r="C105" s="16"/>
      <c r="D105" s="16"/>
      <c r="E105" s="17"/>
      <c r="F105" s="16"/>
      <c r="G105" s="16"/>
      <c r="H105" s="16"/>
      <c r="I105" s="18"/>
      <c r="J105" s="18"/>
      <c r="K105" s="19" t="str">
        <f t="shared" si="4"/>
        <v/>
      </c>
      <c r="L105" s="16"/>
      <c r="M105" s="16"/>
      <c r="N105" s="16"/>
      <c r="O105" s="20" t="str">
        <f t="shared" ca="1" si="5"/>
        <v/>
      </c>
      <c r="P105" s="16"/>
    </row>
    <row r="106" spans="1:16" x14ac:dyDescent="0.3">
      <c r="A106" s="15" t="str">
        <f t="shared" si="3"/>
        <v/>
      </c>
      <c r="B106" s="16"/>
      <c r="C106" s="16"/>
      <c r="D106" s="16"/>
      <c r="E106" s="17"/>
      <c r="F106" s="16"/>
      <c r="G106" s="16"/>
      <c r="H106" s="16"/>
      <c r="I106" s="18"/>
      <c r="J106" s="18"/>
      <c r="K106" s="19" t="str">
        <f t="shared" si="4"/>
        <v/>
      </c>
      <c r="L106" s="16"/>
      <c r="M106" s="16"/>
      <c r="N106" s="16"/>
      <c r="O106" s="20" t="str">
        <f t="shared" ca="1" si="5"/>
        <v/>
      </c>
      <c r="P106" s="16"/>
    </row>
    <row r="107" spans="1:16" x14ac:dyDescent="0.3">
      <c r="A107" s="15" t="str">
        <f t="shared" si="3"/>
        <v/>
      </c>
      <c r="B107" s="16"/>
      <c r="C107" s="16"/>
      <c r="D107" s="16"/>
      <c r="E107" s="17"/>
      <c r="F107" s="16"/>
      <c r="G107" s="16"/>
      <c r="H107" s="16"/>
      <c r="I107" s="18"/>
      <c r="J107" s="18"/>
      <c r="K107" s="19" t="str">
        <f t="shared" si="4"/>
        <v/>
      </c>
      <c r="L107" s="16"/>
      <c r="M107" s="16"/>
      <c r="N107" s="16"/>
      <c r="O107" s="20" t="str">
        <f t="shared" ca="1" si="5"/>
        <v/>
      </c>
      <c r="P107" s="16"/>
    </row>
    <row r="108" spans="1:16" x14ac:dyDescent="0.3">
      <c r="A108" s="15" t="str">
        <f t="shared" si="3"/>
        <v/>
      </c>
      <c r="B108" s="16"/>
      <c r="C108" s="16"/>
      <c r="D108" s="16"/>
      <c r="E108" s="17"/>
      <c r="F108" s="16"/>
      <c r="G108" s="16"/>
      <c r="H108" s="16"/>
      <c r="I108" s="18"/>
      <c r="J108" s="18"/>
      <c r="K108" s="19" t="str">
        <f t="shared" si="4"/>
        <v/>
      </c>
      <c r="L108" s="16"/>
      <c r="M108" s="16"/>
      <c r="N108" s="16"/>
      <c r="O108" s="20" t="str">
        <f t="shared" ca="1" si="5"/>
        <v/>
      </c>
      <c r="P108" s="16"/>
    </row>
    <row r="109" spans="1:16" x14ac:dyDescent="0.3">
      <c r="A109" s="15" t="str">
        <f t="shared" si="3"/>
        <v/>
      </c>
      <c r="B109" s="16"/>
      <c r="C109" s="16"/>
      <c r="D109" s="16"/>
      <c r="E109" s="17"/>
      <c r="F109" s="16"/>
      <c r="G109" s="16"/>
      <c r="H109" s="16"/>
      <c r="I109" s="18"/>
      <c r="J109" s="18"/>
      <c r="K109" s="19" t="str">
        <f t="shared" si="4"/>
        <v/>
      </c>
      <c r="L109" s="16"/>
      <c r="M109" s="16"/>
      <c r="N109" s="16"/>
      <c r="O109" s="20" t="str">
        <f t="shared" ca="1" si="5"/>
        <v/>
      </c>
      <c r="P109" s="16"/>
    </row>
    <row r="110" spans="1:16" x14ac:dyDescent="0.3">
      <c r="A110" s="15" t="str">
        <f t="shared" si="3"/>
        <v/>
      </c>
      <c r="B110" s="16"/>
      <c r="C110" s="16"/>
      <c r="D110" s="16"/>
      <c r="E110" s="17"/>
      <c r="F110" s="16"/>
      <c r="G110" s="16"/>
      <c r="H110" s="16"/>
      <c r="I110" s="18"/>
      <c r="J110" s="18"/>
      <c r="K110" s="19" t="str">
        <f t="shared" si="4"/>
        <v/>
      </c>
      <c r="L110" s="16"/>
      <c r="M110" s="16"/>
      <c r="N110" s="16"/>
      <c r="O110" s="20" t="str">
        <f t="shared" ca="1" si="5"/>
        <v/>
      </c>
      <c r="P110" s="16"/>
    </row>
    <row r="111" spans="1:16" x14ac:dyDescent="0.3">
      <c r="A111" s="15" t="str">
        <f t="shared" si="3"/>
        <v/>
      </c>
      <c r="B111" s="16"/>
      <c r="C111" s="16"/>
      <c r="D111" s="16"/>
      <c r="E111" s="17"/>
      <c r="F111" s="16"/>
      <c r="G111" s="16"/>
      <c r="H111" s="16"/>
      <c r="I111" s="18"/>
      <c r="J111" s="18"/>
      <c r="K111" s="19" t="str">
        <f t="shared" si="4"/>
        <v/>
      </c>
      <c r="L111" s="16"/>
      <c r="M111" s="16"/>
      <c r="N111" s="16"/>
      <c r="O111" s="20" t="str">
        <f t="shared" ca="1" si="5"/>
        <v/>
      </c>
      <c r="P111" s="16"/>
    </row>
    <row r="112" spans="1:16" x14ac:dyDescent="0.3">
      <c r="A112" s="15" t="str">
        <f t="shared" si="3"/>
        <v/>
      </c>
      <c r="B112" s="16"/>
      <c r="C112" s="16"/>
      <c r="D112" s="16"/>
      <c r="E112" s="17"/>
      <c r="F112" s="16"/>
      <c r="G112" s="16"/>
      <c r="H112" s="16"/>
      <c r="I112" s="18"/>
      <c r="J112" s="18"/>
      <c r="K112" s="19" t="str">
        <f t="shared" si="4"/>
        <v/>
      </c>
      <c r="L112" s="16"/>
      <c r="M112" s="16"/>
      <c r="N112" s="16"/>
      <c r="O112" s="20" t="str">
        <f t="shared" ca="1" si="5"/>
        <v/>
      </c>
      <c r="P112" s="16"/>
    </row>
    <row r="113" spans="1:16" x14ac:dyDescent="0.3">
      <c r="A113" s="15" t="str">
        <f t="shared" si="3"/>
        <v/>
      </c>
      <c r="B113" s="16"/>
      <c r="C113" s="16"/>
      <c r="D113" s="16"/>
      <c r="E113" s="17"/>
      <c r="F113" s="16"/>
      <c r="G113" s="16"/>
      <c r="H113" s="16"/>
      <c r="I113" s="18"/>
      <c r="J113" s="18"/>
      <c r="K113" s="19" t="str">
        <f t="shared" si="4"/>
        <v/>
      </c>
      <c r="L113" s="16"/>
      <c r="M113" s="16"/>
      <c r="N113" s="16"/>
      <c r="O113" s="20" t="str">
        <f t="shared" ca="1" si="5"/>
        <v/>
      </c>
      <c r="P113" s="16"/>
    </row>
    <row r="114" spans="1:16" x14ac:dyDescent="0.3">
      <c r="A114" s="15" t="str">
        <f t="shared" si="3"/>
        <v/>
      </c>
      <c r="B114" s="16"/>
      <c r="C114" s="16"/>
      <c r="D114" s="16"/>
      <c r="E114" s="17"/>
      <c r="F114" s="16"/>
      <c r="G114" s="16"/>
      <c r="H114" s="16"/>
      <c r="I114" s="18"/>
      <c r="J114" s="18"/>
      <c r="K114" s="19" t="str">
        <f t="shared" si="4"/>
        <v/>
      </c>
      <c r="L114" s="16"/>
      <c r="M114" s="16"/>
      <c r="N114" s="16"/>
      <c r="O114" s="20" t="str">
        <f t="shared" ca="1" si="5"/>
        <v/>
      </c>
      <c r="P114" s="16"/>
    </row>
    <row r="115" spans="1:16" x14ac:dyDescent="0.3">
      <c r="A115" s="15" t="str">
        <f t="shared" si="3"/>
        <v/>
      </c>
      <c r="B115" s="16"/>
      <c r="C115" s="16"/>
      <c r="D115" s="16"/>
      <c r="E115" s="17"/>
      <c r="F115" s="16"/>
      <c r="G115" s="16"/>
      <c r="H115" s="16"/>
      <c r="I115" s="18"/>
      <c r="J115" s="18"/>
      <c r="K115" s="19" t="str">
        <f t="shared" si="4"/>
        <v/>
      </c>
      <c r="L115" s="16"/>
      <c r="M115" s="16"/>
      <c r="N115" s="16"/>
      <c r="O115" s="20" t="str">
        <f t="shared" ca="1" si="5"/>
        <v/>
      </c>
      <c r="P115" s="16"/>
    </row>
    <row r="116" spans="1:16" x14ac:dyDescent="0.3">
      <c r="A116" s="15" t="str">
        <f t="shared" si="3"/>
        <v/>
      </c>
      <c r="B116" s="16"/>
      <c r="C116" s="16"/>
      <c r="D116" s="16"/>
      <c r="E116" s="17"/>
      <c r="F116" s="16"/>
      <c r="G116" s="16"/>
      <c r="H116" s="16"/>
      <c r="I116" s="18"/>
      <c r="J116" s="18"/>
      <c r="K116" s="19" t="str">
        <f t="shared" si="4"/>
        <v/>
      </c>
      <c r="L116" s="16"/>
      <c r="M116" s="16"/>
      <c r="N116" s="16"/>
      <c r="O116" s="20" t="str">
        <f t="shared" ca="1" si="5"/>
        <v/>
      </c>
      <c r="P116" s="16"/>
    </row>
    <row r="117" spans="1:16" x14ac:dyDescent="0.3">
      <c r="A117" s="15" t="str">
        <f t="shared" si="3"/>
        <v/>
      </c>
      <c r="B117" s="16"/>
      <c r="C117" s="16"/>
      <c r="D117" s="16"/>
      <c r="E117" s="17"/>
      <c r="F117" s="16"/>
      <c r="G117" s="16"/>
      <c r="H117" s="16"/>
      <c r="I117" s="18"/>
      <c r="J117" s="18"/>
      <c r="K117" s="19" t="str">
        <f t="shared" si="4"/>
        <v/>
      </c>
      <c r="L117" s="16"/>
      <c r="M117" s="16"/>
      <c r="N117" s="16"/>
      <c r="O117" s="20" t="str">
        <f t="shared" ca="1" si="5"/>
        <v/>
      </c>
      <c r="P117" s="16"/>
    </row>
    <row r="118" spans="1:16" x14ac:dyDescent="0.3">
      <c r="A118" s="15" t="str">
        <f t="shared" si="3"/>
        <v/>
      </c>
      <c r="B118" s="16"/>
      <c r="C118" s="16"/>
      <c r="D118" s="16"/>
      <c r="E118" s="17"/>
      <c r="F118" s="16"/>
      <c r="G118" s="16"/>
      <c r="H118" s="16"/>
      <c r="I118" s="18"/>
      <c r="J118" s="18"/>
      <c r="K118" s="19" t="str">
        <f t="shared" si="4"/>
        <v/>
      </c>
      <c r="L118" s="16"/>
      <c r="M118" s="16"/>
      <c r="N118" s="16"/>
      <c r="O118" s="20" t="str">
        <f t="shared" ca="1" si="5"/>
        <v/>
      </c>
      <c r="P118" s="16"/>
    </row>
    <row r="119" spans="1:16" x14ac:dyDescent="0.3">
      <c r="A119" s="15" t="str">
        <f t="shared" si="3"/>
        <v/>
      </c>
      <c r="B119" s="16"/>
      <c r="C119" s="16"/>
      <c r="D119" s="16"/>
      <c r="E119" s="17"/>
      <c r="F119" s="16"/>
      <c r="G119" s="16"/>
      <c r="H119" s="16"/>
      <c r="I119" s="18"/>
      <c r="J119" s="18"/>
      <c r="K119" s="19" t="str">
        <f t="shared" si="4"/>
        <v/>
      </c>
      <c r="L119" s="16"/>
      <c r="M119" s="16"/>
      <c r="N119" s="16"/>
      <c r="O119" s="20" t="str">
        <f t="shared" ca="1" si="5"/>
        <v/>
      </c>
      <c r="P119" s="16"/>
    </row>
    <row r="120" spans="1:16" x14ac:dyDescent="0.3">
      <c r="A120" s="15" t="str">
        <f t="shared" si="3"/>
        <v/>
      </c>
      <c r="B120" s="16"/>
      <c r="C120" s="16"/>
      <c r="D120" s="16"/>
      <c r="E120" s="17"/>
      <c r="F120" s="16"/>
      <c r="G120" s="16"/>
      <c r="H120" s="16"/>
      <c r="I120" s="18"/>
      <c r="J120" s="18"/>
      <c r="K120" s="19" t="str">
        <f t="shared" si="4"/>
        <v/>
      </c>
      <c r="L120" s="16"/>
      <c r="M120" s="16"/>
      <c r="N120" s="16"/>
      <c r="O120" s="20" t="str">
        <f t="shared" ca="1" si="5"/>
        <v/>
      </c>
      <c r="P120" s="16"/>
    </row>
    <row r="121" spans="1:16" x14ac:dyDescent="0.3">
      <c r="A121" s="15" t="str">
        <f t="shared" si="3"/>
        <v/>
      </c>
      <c r="B121" s="16"/>
      <c r="C121" s="16"/>
      <c r="D121" s="16"/>
      <c r="E121" s="17"/>
      <c r="F121" s="16"/>
      <c r="G121" s="16"/>
      <c r="H121" s="16"/>
      <c r="I121" s="18"/>
      <c r="J121" s="18"/>
      <c r="K121" s="19" t="str">
        <f t="shared" si="4"/>
        <v/>
      </c>
      <c r="L121" s="16"/>
      <c r="M121" s="16"/>
      <c r="N121" s="16"/>
      <c r="O121" s="20" t="str">
        <f t="shared" ca="1" si="5"/>
        <v/>
      </c>
      <c r="P121" s="16"/>
    </row>
    <row r="122" spans="1:16" x14ac:dyDescent="0.3">
      <c r="A122" s="15" t="str">
        <f t="shared" si="3"/>
        <v/>
      </c>
      <c r="B122" s="16"/>
      <c r="C122" s="16"/>
      <c r="D122" s="16"/>
      <c r="E122" s="17"/>
      <c r="F122" s="16"/>
      <c r="G122" s="16"/>
      <c r="H122" s="16"/>
      <c r="I122" s="18"/>
      <c r="J122" s="18"/>
      <c r="K122" s="19" t="str">
        <f t="shared" si="4"/>
        <v/>
      </c>
      <c r="L122" s="16"/>
      <c r="M122" s="16"/>
      <c r="N122" s="16"/>
      <c r="O122" s="20" t="str">
        <f t="shared" ca="1" si="5"/>
        <v/>
      </c>
      <c r="P122" s="16"/>
    </row>
    <row r="123" spans="1:16" x14ac:dyDescent="0.3">
      <c r="A123" s="15" t="str">
        <f t="shared" si="3"/>
        <v/>
      </c>
      <c r="B123" s="16"/>
      <c r="C123" s="16"/>
      <c r="D123" s="16"/>
      <c r="E123" s="17"/>
      <c r="F123" s="16"/>
      <c r="G123" s="16"/>
      <c r="H123" s="16"/>
      <c r="I123" s="18"/>
      <c r="J123" s="18"/>
      <c r="K123" s="19" t="str">
        <f t="shared" si="4"/>
        <v/>
      </c>
      <c r="L123" s="16"/>
      <c r="M123" s="16"/>
      <c r="N123" s="16"/>
      <c r="O123" s="20" t="str">
        <f t="shared" ca="1" si="5"/>
        <v/>
      </c>
      <c r="P123" s="16"/>
    </row>
    <row r="124" spans="1:16" x14ac:dyDescent="0.3">
      <c r="A124" s="15" t="str">
        <f t="shared" si="3"/>
        <v/>
      </c>
      <c r="B124" s="16"/>
      <c r="C124" s="16"/>
      <c r="D124" s="16"/>
      <c r="E124" s="17"/>
      <c r="F124" s="16"/>
      <c r="G124" s="16"/>
      <c r="H124" s="16"/>
      <c r="I124" s="18"/>
      <c r="J124" s="18"/>
      <c r="K124" s="19" t="str">
        <f t="shared" si="4"/>
        <v/>
      </c>
      <c r="L124" s="16"/>
      <c r="M124" s="16"/>
      <c r="N124" s="16"/>
      <c r="O124" s="20" t="str">
        <f t="shared" ca="1" si="5"/>
        <v/>
      </c>
      <c r="P124" s="16"/>
    </row>
    <row r="125" spans="1:16" x14ac:dyDescent="0.3">
      <c r="A125" s="15" t="str">
        <f t="shared" si="3"/>
        <v/>
      </c>
      <c r="B125" s="16"/>
      <c r="C125" s="16"/>
      <c r="D125" s="16"/>
      <c r="E125" s="17"/>
      <c r="F125" s="16"/>
      <c r="G125" s="16"/>
      <c r="H125" s="16"/>
      <c r="I125" s="18"/>
      <c r="J125" s="18"/>
      <c r="K125" s="19" t="str">
        <f t="shared" si="4"/>
        <v/>
      </c>
      <c r="L125" s="16"/>
      <c r="M125" s="16"/>
      <c r="N125" s="16"/>
      <c r="O125" s="20" t="str">
        <f t="shared" ca="1" si="5"/>
        <v/>
      </c>
      <c r="P125" s="16"/>
    </row>
    <row r="126" spans="1:16" x14ac:dyDescent="0.3">
      <c r="A126" s="15" t="str">
        <f t="shared" si="3"/>
        <v/>
      </c>
      <c r="B126" s="16"/>
      <c r="C126" s="16"/>
      <c r="D126" s="16"/>
      <c r="E126" s="17"/>
      <c r="F126" s="16"/>
      <c r="G126" s="16"/>
      <c r="H126" s="16"/>
      <c r="I126" s="18"/>
      <c r="J126" s="18"/>
      <c r="K126" s="19" t="str">
        <f t="shared" si="4"/>
        <v/>
      </c>
      <c r="L126" s="16"/>
      <c r="M126" s="16"/>
      <c r="N126" s="16"/>
      <c r="O126" s="20" t="str">
        <f t="shared" ca="1" si="5"/>
        <v/>
      </c>
      <c r="P126" s="16"/>
    </row>
    <row r="127" spans="1:16" x14ac:dyDescent="0.3">
      <c r="A127" s="15" t="str">
        <f t="shared" si="3"/>
        <v/>
      </c>
      <c r="B127" s="16"/>
      <c r="C127" s="16"/>
      <c r="D127" s="16"/>
      <c r="E127" s="17"/>
      <c r="F127" s="16"/>
      <c r="G127" s="16"/>
      <c r="H127" s="16"/>
      <c r="I127" s="18"/>
      <c r="J127" s="18"/>
      <c r="K127" s="19" t="str">
        <f t="shared" si="4"/>
        <v/>
      </c>
      <c r="L127" s="16"/>
      <c r="M127" s="16"/>
      <c r="N127" s="16"/>
      <c r="O127" s="20" t="str">
        <f t="shared" ca="1" si="5"/>
        <v/>
      </c>
      <c r="P127" s="16"/>
    </row>
    <row r="128" spans="1:16" x14ac:dyDescent="0.3">
      <c r="A128" s="15" t="str">
        <f t="shared" si="3"/>
        <v/>
      </c>
      <c r="B128" s="16"/>
      <c r="C128" s="16"/>
      <c r="D128" s="16"/>
      <c r="E128" s="17"/>
      <c r="F128" s="16"/>
      <c r="G128" s="16"/>
      <c r="H128" s="16"/>
      <c r="I128" s="18"/>
      <c r="J128" s="18"/>
      <c r="K128" s="19" t="str">
        <f t="shared" si="4"/>
        <v/>
      </c>
      <c r="L128" s="16"/>
      <c r="M128" s="16"/>
      <c r="N128" s="16"/>
      <c r="O128" s="20" t="str">
        <f t="shared" ca="1" si="5"/>
        <v/>
      </c>
      <c r="P128" s="16"/>
    </row>
    <row r="129" spans="1:16" x14ac:dyDescent="0.3">
      <c r="A129" s="15" t="str">
        <f t="shared" si="3"/>
        <v/>
      </c>
      <c r="B129" s="16"/>
      <c r="C129" s="16"/>
      <c r="D129" s="16"/>
      <c r="E129" s="17"/>
      <c r="F129" s="16"/>
      <c r="G129" s="16"/>
      <c r="H129" s="16"/>
      <c r="I129" s="18"/>
      <c r="J129" s="18"/>
      <c r="K129" s="19" t="str">
        <f t="shared" si="4"/>
        <v/>
      </c>
      <c r="L129" s="16"/>
      <c r="M129" s="16"/>
      <c r="N129" s="16"/>
      <c r="O129" s="20" t="str">
        <f t="shared" ca="1" si="5"/>
        <v/>
      </c>
      <c r="P129" s="16"/>
    </row>
    <row r="130" spans="1:16" x14ac:dyDescent="0.3">
      <c r="A130" s="15" t="str">
        <f t="shared" ref="A130:A193" si="6">IF(B130="","","JOB-"&amp;TEXT(ROW()-1,"0000"))</f>
        <v/>
      </c>
      <c r="B130" s="16"/>
      <c r="C130" s="16"/>
      <c r="D130" s="16"/>
      <c r="E130" s="17"/>
      <c r="F130" s="16"/>
      <c r="G130" s="16"/>
      <c r="H130" s="16"/>
      <c r="I130" s="18"/>
      <c r="J130" s="18"/>
      <c r="K130" s="19" t="str">
        <f t="shared" ref="K130:K193" si="7">IF(B130="","",IF(H130="paid",0,MAX(0,I130-J130)))</f>
        <v/>
      </c>
      <c r="L130" s="16"/>
      <c r="M130" s="16"/>
      <c r="N130" s="16"/>
      <c r="O130" s="20" t="str">
        <f t="shared" ref="O130:O193" ca="1" si="8">IF(B130="","",TODAY())</f>
        <v/>
      </c>
      <c r="P130" s="16"/>
    </row>
    <row r="131" spans="1:16" x14ac:dyDescent="0.3">
      <c r="A131" s="15" t="str">
        <f t="shared" si="6"/>
        <v/>
      </c>
      <c r="B131" s="16"/>
      <c r="C131" s="16"/>
      <c r="D131" s="16"/>
      <c r="E131" s="17"/>
      <c r="F131" s="16"/>
      <c r="G131" s="16"/>
      <c r="H131" s="16"/>
      <c r="I131" s="18"/>
      <c r="J131" s="18"/>
      <c r="K131" s="19" t="str">
        <f t="shared" si="7"/>
        <v/>
      </c>
      <c r="L131" s="16"/>
      <c r="M131" s="16"/>
      <c r="N131" s="16"/>
      <c r="O131" s="20" t="str">
        <f t="shared" ca="1" si="8"/>
        <v/>
      </c>
      <c r="P131" s="16"/>
    </row>
    <row r="132" spans="1:16" x14ac:dyDescent="0.3">
      <c r="A132" s="15" t="str">
        <f t="shared" si="6"/>
        <v/>
      </c>
      <c r="B132" s="16"/>
      <c r="C132" s="16"/>
      <c r="D132" s="16"/>
      <c r="E132" s="17"/>
      <c r="F132" s="16"/>
      <c r="G132" s="16"/>
      <c r="H132" s="16"/>
      <c r="I132" s="18"/>
      <c r="J132" s="18"/>
      <c r="K132" s="19" t="str">
        <f t="shared" si="7"/>
        <v/>
      </c>
      <c r="L132" s="16"/>
      <c r="M132" s="16"/>
      <c r="N132" s="16"/>
      <c r="O132" s="20" t="str">
        <f t="shared" ca="1" si="8"/>
        <v/>
      </c>
      <c r="P132" s="16"/>
    </row>
    <row r="133" spans="1:16" x14ac:dyDescent="0.3">
      <c r="A133" s="15" t="str">
        <f t="shared" si="6"/>
        <v/>
      </c>
      <c r="B133" s="16"/>
      <c r="C133" s="16"/>
      <c r="D133" s="16"/>
      <c r="E133" s="17"/>
      <c r="F133" s="16"/>
      <c r="G133" s="16"/>
      <c r="H133" s="16"/>
      <c r="I133" s="18"/>
      <c r="J133" s="18"/>
      <c r="K133" s="19" t="str">
        <f t="shared" si="7"/>
        <v/>
      </c>
      <c r="L133" s="16"/>
      <c r="M133" s="16"/>
      <c r="N133" s="16"/>
      <c r="O133" s="20" t="str">
        <f t="shared" ca="1" si="8"/>
        <v/>
      </c>
      <c r="P133" s="16"/>
    </row>
    <row r="134" spans="1:16" x14ac:dyDescent="0.3">
      <c r="A134" s="15" t="str">
        <f t="shared" si="6"/>
        <v/>
      </c>
      <c r="B134" s="16"/>
      <c r="C134" s="16"/>
      <c r="D134" s="16"/>
      <c r="E134" s="17"/>
      <c r="F134" s="16"/>
      <c r="G134" s="16"/>
      <c r="H134" s="16"/>
      <c r="I134" s="18"/>
      <c r="J134" s="18"/>
      <c r="K134" s="19" t="str">
        <f t="shared" si="7"/>
        <v/>
      </c>
      <c r="L134" s="16"/>
      <c r="M134" s="16"/>
      <c r="N134" s="16"/>
      <c r="O134" s="20" t="str">
        <f t="shared" ca="1" si="8"/>
        <v/>
      </c>
      <c r="P134" s="16"/>
    </row>
    <row r="135" spans="1:16" x14ac:dyDescent="0.3">
      <c r="A135" s="15" t="str">
        <f t="shared" si="6"/>
        <v/>
      </c>
      <c r="B135" s="16"/>
      <c r="C135" s="16"/>
      <c r="D135" s="16"/>
      <c r="E135" s="17"/>
      <c r="F135" s="16"/>
      <c r="G135" s="16"/>
      <c r="H135" s="16"/>
      <c r="I135" s="18"/>
      <c r="J135" s="18"/>
      <c r="K135" s="19" t="str">
        <f t="shared" si="7"/>
        <v/>
      </c>
      <c r="L135" s="16"/>
      <c r="M135" s="16"/>
      <c r="N135" s="16"/>
      <c r="O135" s="20" t="str">
        <f t="shared" ca="1" si="8"/>
        <v/>
      </c>
      <c r="P135" s="16"/>
    </row>
    <row r="136" spans="1:16" x14ac:dyDescent="0.3">
      <c r="A136" s="15" t="str">
        <f t="shared" si="6"/>
        <v/>
      </c>
      <c r="B136" s="16"/>
      <c r="C136" s="16"/>
      <c r="D136" s="16"/>
      <c r="E136" s="17"/>
      <c r="F136" s="16"/>
      <c r="G136" s="16"/>
      <c r="H136" s="16"/>
      <c r="I136" s="18"/>
      <c r="J136" s="18"/>
      <c r="K136" s="19" t="str">
        <f t="shared" si="7"/>
        <v/>
      </c>
      <c r="L136" s="16"/>
      <c r="M136" s="16"/>
      <c r="N136" s="16"/>
      <c r="O136" s="20" t="str">
        <f t="shared" ca="1" si="8"/>
        <v/>
      </c>
      <c r="P136" s="16"/>
    </row>
    <row r="137" spans="1:16" x14ac:dyDescent="0.3">
      <c r="A137" s="15" t="str">
        <f t="shared" si="6"/>
        <v/>
      </c>
      <c r="B137" s="16"/>
      <c r="C137" s="16"/>
      <c r="D137" s="16"/>
      <c r="E137" s="17"/>
      <c r="F137" s="16"/>
      <c r="G137" s="16"/>
      <c r="H137" s="16"/>
      <c r="I137" s="18"/>
      <c r="J137" s="18"/>
      <c r="K137" s="19" t="str">
        <f t="shared" si="7"/>
        <v/>
      </c>
      <c r="L137" s="16"/>
      <c r="M137" s="16"/>
      <c r="N137" s="16"/>
      <c r="O137" s="20" t="str">
        <f t="shared" ca="1" si="8"/>
        <v/>
      </c>
      <c r="P137" s="16"/>
    </row>
    <row r="138" spans="1:16" x14ac:dyDescent="0.3">
      <c r="A138" s="15" t="str">
        <f t="shared" si="6"/>
        <v/>
      </c>
      <c r="B138" s="16"/>
      <c r="C138" s="16"/>
      <c r="D138" s="16"/>
      <c r="E138" s="17"/>
      <c r="F138" s="16"/>
      <c r="G138" s="16"/>
      <c r="H138" s="16"/>
      <c r="I138" s="18"/>
      <c r="J138" s="18"/>
      <c r="K138" s="19" t="str">
        <f t="shared" si="7"/>
        <v/>
      </c>
      <c r="L138" s="16"/>
      <c r="M138" s="16"/>
      <c r="N138" s="16"/>
      <c r="O138" s="20" t="str">
        <f t="shared" ca="1" si="8"/>
        <v/>
      </c>
      <c r="P138" s="16"/>
    </row>
    <row r="139" spans="1:16" x14ac:dyDescent="0.3">
      <c r="A139" s="15" t="str">
        <f t="shared" si="6"/>
        <v/>
      </c>
      <c r="B139" s="16"/>
      <c r="C139" s="16"/>
      <c r="D139" s="16"/>
      <c r="E139" s="17"/>
      <c r="F139" s="16"/>
      <c r="G139" s="16"/>
      <c r="H139" s="16"/>
      <c r="I139" s="18"/>
      <c r="J139" s="18"/>
      <c r="K139" s="19" t="str">
        <f t="shared" si="7"/>
        <v/>
      </c>
      <c r="L139" s="16"/>
      <c r="M139" s="16"/>
      <c r="N139" s="16"/>
      <c r="O139" s="20" t="str">
        <f t="shared" ca="1" si="8"/>
        <v/>
      </c>
      <c r="P139" s="16"/>
    </row>
    <row r="140" spans="1:16" x14ac:dyDescent="0.3">
      <c r="A140" s="15" t="str">
        <f t="shared" si="6"/>
        <v/>
      </c>
      <c r="B140" s="16"/>
      <c r="C140" s="16"/>
      <c r="D140" s="16"/>
      <c r="E140" s="17"/>
      <c r="F140" s="16"/>
      <c r="G140" s="16"/>
      <c r="H140" s="16"/>
      <c r="I140" s="18"/>
      <c r="J140" s="18"/>
      <c r="K140" s="19" t="str">
        <f t="shared" si="7"/>
        <v/>
      </c>
      <c r="L140" s="16"/>
      <c r="M140" s="16"/>
      <c r="N140" s="16"/>
      <c r="O140" s="20" t="str">
        <f t="shared" ca="1" si="8"/>
        <v/>
      </c>
      <c r="P140" s="16"/>
    </row>
    <row r="141" spans="1:16" x14ac:dyDescent="0.3">
      <c r="A141" s="15" t="str">
        <f t="shared" si="6"/>
        <v/>
      </c>
      <c r="B141" s="16"/>
      <c r="C141" s="16"/>
      <c r="D141" s="16"/>
      <c r="E141" s="17"/>
      <c r="F141" s="16"/>
      <c r="G141" s="16"/>
      <c r="H141" s="16"/>
      <c r="I141" s="18"/>
      <c r="J141" s="18"/>
      <c r="K141" s="19" t="str">
        <f t="shared" si="7"/>
        <v/>
      </c>
      <c r="L141" s="16"/>
      <c r="M141" s="16"/>
      <c r="N141" s="16"/>
      <c r="O141" s="20" t="str">
        <f t="shared" ca="1" si="8"/>
        <v/>
      </c>
      <c r="P141" s="16"/>
    </row>
    <row r="142" spans="1:16" x14ac:dyDescent="0.3">
      <c r="A142" s="15" t="str">
        <f t="shared" si="6"/>
        <v/>
      </c>
      <c r="B142" s="16"/>
      <c r="C142" s="16"/>
      <c r="D142" s="16"/>
      <c r="E142" s="17"/>
      <c r="F142" s="16"/>
      <c r="G142" s="16"/>
      <c r="H142" s="16"/>
      <c r="I142" s="18"/>
      <c r="J142" s="18"/>
      <c r="K142" s="19" t="str">
        <f t="shared" si="7"/>
        <v/>
      </c>
      <c r="L142" s="16"/>
      <c r="M142" s="16"/>
      <c r="N142" s="16"/>
      <c r="O142" s="20" t="str">
        <f t="shared" ca="1" si="8"/>
        <v/>
      </c>
      <c r="P142" s="16"/>
    </row>
    <row r="143" spans="1:16" x14ac:dyDescent="0.3">
      <c r="A143" s="15" t="str">
        <f t="shared" si="6"/>
        <v/>
      </c>
      <c r="B143" s="16"/>
      <c r="C143" s="16"/>
      <c r="D143" s="16"/>
      <c r="E143" s="17"/>
      <c r="F143" s="16"/>
      <c r="G143" s="16"/>
      <c r="H143" s="16"/>
      <c r="I143" s="18"/>
      <c r="J143" s="18"/>
      <c r="K143" s="19" t="str">
        <f t="shared" si="7"/>
        <v/>
      </c>
      <c r="L143" s="16"/>
      <c r="M143" s="16"/>
      <c r="N143" s="16"/>
      <c r="O143" s="20" t="str">
        <f t="shared" ca="1" si="8"/>
        <v/>
      </c>
      <c r="P143" s="16"/>
    </row>
    <row r="144" spans="1:16" x14ac:dyDescent="0.3">
      <c r="A144" s="15" t="str">
        <f t="shared" si="6"/>
        <v/>
      </c>
      <c r="B144" s="16"/>
      <c r="C144" s="16"/>
      <c r="D144" s="16"/>
      <c r="E144" s="17"/>
      <c r="F144" s="16"/>
      <c r="G144" s="16"/>
      <c r="H144" s="16"/>
      <c r="I144" s="18"/>
      <c r="J144" s="18"/>
      <c r="K144" s="19" t="str">
        <f t="shared" si="7"/>
        <v/>
      </c>
      <c r="L144" s="16"/>
      <c r="M144" s="16"/>
      <c r="N144" s="16"/>
      <c r="O144" s="20" t="str">
        <f t="shared" ca="1" si="8"/>
        <v/>
      </c>
      <c r="P144" s="16"/>
    </row>
    <row r="145" spans="1:16" x14ac:dyDescent="0.3">
      <c r="A145" s="15" t="str">
        <f t="shared" si="6"/>
        <v/>
      </c>
      <c r="B145" s="16"/>
      <c r="C145" s="16"/>
      <c r="D145" s="16"/>
      <c r="E145" s="17"/>
      <c r="F145" s="16"/>
      <c r="G145" s="16"/>
      <c r="H145" s="16"/>
      <c r="I145" s="18"/>
      <c r="J145" s="18"/>
      <c r="K145" s="19" t="str">
        <f t="shared" si="7"/>
        <v/>
      </c>
      <c r="L145" s="16"/>
      <c r="M145" s="16"/>
      <c r="N145" s="16"/>
      <c r="O145" s="20" t="str">
        <f t="shared" ca="1" si="8"/>
        <v/>
      </c>
      <c r="P145" s="16"/>
    </row>
    <row r="146" spans="1:16" x14ac:dyDescent="0.3">
      <c r="A146" s="15" t="str">
        <f t="shared" si="6"/>
        <v/>
      </c>
      <c r="B146" s="16"/>
      <c r="C146" s="16"/>
      <c r="D146" s="16"/>
      <c r="E146" s="17"/>
      <c r="F146" s="16"/>
      <c r="G146" s="16"/>
      <c r="H146" s="16"/>
      <c r="I146" s="18"/>
      <c r="J146" s="18"/>
      <c r="K146" s="19" t="str">
        <f t="shared" si="7"/>
        <v/>
      </c>
      <c r="L146" s="16"/>
      <c r="M146" s="16"/>
      <c r="N146" s="16"/>
      <c r="O146" s="20" t="str">
        <f t="shared" ca="1" si="8"/>
        <v/>
      </c>
      <c r="P146" s="16"/>
    </row>
    <row r="147" spans="1:16" x14ac:dyDescent="0.3">
      <c r="A147" s="15" t="str">
        <f t="shared" si="6"/>
        <v/>
      </c>
      <c r="B147" s="16"/>
      <c r="C147" s="16"/>
      <c r="D147" s="16"/>
      <c r="E147" s="17"/>
      <c r="F147" s="16"/>
      <c r="G147" s="16"/>
      <c r="H147" s="16"/>
      <c r="I147" s="18"/>
      <c r="J147" s="18"/>
      <c r="K147" s="19" t="str">
        <f t="shared" si="7"/>
        <v/>
      </c>
      <c r="L147" s="16"/>
      <c r="M147" s="16"/>
      <c r="N147" s="16"/>
      <c r="O147" s="20" t="str">
        <f t="shared" ca="1" si="8"/>
        <v/>
      </c>
      <c r="P147" s="16"/>
    </row>
    <row r="148" spans="1:16" x14ac:dyDescent="0.3">
      <c r="A148" s="15" t="str">
        <f t="shared" si="6"/>
        <v/>
      </c>
      <c r="B148" s="16"/>
      <c r="C148" s="16"/>
      <c r="D148" s="16"/>
      <c r="E148" s="17"/>
      <c r="F148" s="16"/>
      <c r="G148" s="16"/>
      <c r="H148" s="16"/>
      <c r="I148" s="18"/>
      <c r="J148" s="18"/>
      <c r="K148" s="19" t="str">
        <f t="shared" si="7"/>
        <v/>
      </c>
      <c r="L148" s="16"/>
      <c r="M148" s="16"/>
      <c r="N148" s="16"/>
      <c r="O148" s="20" t="str">
        <f t="shared" ca="1" si="8"/>
        <v/>
      </c>
      <c r="P148" s="16"/>
    </row>
    <row r="149" spans="1:16" x14ac:dyDescent="0.3">
      <c r="A149" s="15" t="str">
        <f t="shared" si="6"/>
        <v/>
      </c>
      <c r="B149" s="16"/>
      <c r="C149" s="16"/>
      <c r="D149" s="16"/>
      <c r="E149" s="17"/>
      <c r="F149" s="16"/>
      <c r="G149" s="16"/>
      <c r="H149" s="16"/>
      <c r="I149" s="18"/>
      <c r="J149" s="18"/>
      <c r="K149" s="19" t="str">
        <f t="shared" si="7"/>
        <v/>
      </c>
      <c r="L149" s="16"/>
      <c r="M149" s="16"/>
      <c r="N149" s="16"/>
      <c r="O149" s="20" t="str">
        <f t="shared" ca="1" si="8"/>
        <v/>
      </c>
      <c r="P149" s="16"/>
    </row>
    <row r="150" spans="1:16" x14ac:dyDescent="0.3">
      <c r="A150" s="15" t="str">
        <f t="shared" si="6"/>
        <v/>
      </c>
      <c r="B150" s="16"/>
      <c r="C150" s="16"/>
      <c r="D150" s="16"/>
      <c r="E150" s="17"/>
      <c r="F150" s="16"/>
      <c r="G150" s="16"/>
      <c r="H150" s="16"/>
      <c r="I150" s="18"/>
      <c r="J150" s="18"/>
      <c r="K150" s="19" t="str">
        <f t="shared" si="7"/>
        <v/>
      </c>
      <c r="L150" s="16"/>
      <c r="M150" s="16"/>
      <c r="N150" s="16"/>
      <c r="O150" s="20" t="str">
        <f t="shared" ca="1" si="8"/>
        <v/>
      </c>
      <c r="P150" s="16"/>
    </row>
    <row r="151" spans="1:16" x14ac:dyDescent="0.3">
      <c r="A151" s="15" t="str">
        <f t="shared" si="6"/>
        <v/>
      </c>
      <c r="B151" s="16"/>
      <c r="C151" s="16"/>
      <c r="D151" s="16"/>
      <c r="E151" s="17"/>
      <c r="F151" s="16"/>
      <c r="G151" s="16"/>
      <c r="H151" s="16"/>
      <c r="I151" s="18"/>
      <c r="J151" s="18"/>
      <c r="K151" s="19" t="str">
        <f t="shared" si="7"/>
        <v/>
      </c>
      <c r="L151" s="16"/>
      <c r="M151" s="16"/>
      <c r="N151" s="16"/>
      <c r="O151" s="20" t="str">
        <f t="shared" ca="1" si="8"/>
        <v/>
      </c>
      <c r="P151" s="16"/>
    </row>
    <row r="152" spans="1:16" x14ac:dyDescent="0.3">
      <c r="A152" s="15" t="str">
        <f t="shared" si="6"/>
        <v/>
      </c>
      <c r="B152" s="16"/>
      <c r="C152" s="16"/>
      <c r="D152" s="16"/>
      <c r="E152" s="17"/>
      <c r="F152" s="16"/>
      <c r="G152" s="16"/>
      <c r="H152" s="16"/>
      <c r="I152" s="18"/>
      <c r="J152" s="18"/>
      <c r="K152" s="19" t="str">
        <f t="shared" si="7"/>
        <v/>
      </c>
      <c r="L152" s="16"/>
      <c r="M152" s="16"/>
      <c r="N152" s="16"/>
      <c r="O152" s="20" t="str">
        <f t="shared" ca="1" si="8"/>
        <v/>
      </c>
      <c r="P152" s="16"/>
    </row>
    <row r="153" spans="1:16" x14ac:dyDescent="0.3">
      <c r="A153" s="15" t="str">
        <f t="shared" si="6"/>
        <v/>
      </c>
      <c r="B153" s="16"/>
      <c r="C153" s="16"/>
      <c r="D153" s="16"/>
      <c r="E153" s="17"/>
      <c r="F153" s="16"/>
      <c r="G153" s="16"/>
      <c r="H153" s="16"/>
      <c r="I153" s="18"/>
      <c r="J153" s="18"/>
      <c r="K153" s="19" t="str">
        <f t="shared" si="7"/>
        <v/>
      </c>
      <c r="L153" s="16"/>
      <c r="M153" s="16"/>
      <c r="N153" s="16"/>
      <c r="O153" s="20" t="str">
        <f t="shared" ca="1" si="8"/>
        <v/>
      </c>
      <c r="P153" s="16"/>
    </row>
    <row r="154" spans="1:16" x14ac:dyDescent="0.3">
      <c r="A154" s="15" t="str">
        <f t="shared" si="6"/>
        <v/>
      </c>
      <c r="B154" s="16"/>
      <c r="C154" s="16"/>
      <c r="D154" s="16"/>
      <c r="E154" s="17"/>
      <c r="F154" s="16"/>
      <c r="G154" s="16"/>
      <c r="H154" s="16"/>
      <c r="I154" s="18"/>
      <c r="J154" s="18"/>
      <c r="K154" s="19" t="str">
        <f t="shared" si="7"/>
        <v/>
      </c>
      <c r="L154" s="16"/>
      <c r="M154" s="16"/>
      <c r="N154" s="16"/>
      <c r="O154" s="20" t="str">
        <f t="shared" ca="1" si="8"/>
        <v/>
      </c>
      <c r="P154" s="16"/>
    </row>
    <row r="155" spans="1:16" x14ac:dyDescent="0.3">
      <c r="A155" s="15" t="str">
        <f t="shared" si="6"/>
        <v/>
      </c>
      <c r="B155" s="16"/>
      <c r="C155" s="16"/>
      <c r="D155" s="16"/>
      <c r="E155" s="17"/>
      <c r="F155" s="16"/>
      <c r="G155" s="16"/>
      <c r="H155" s="16"/>
      <c r="I155" s="18"/>
      <c r="J155" s="18"/>
      <c r="K155" s="19" t="str">
        <f t="shared" si="7"/>
        <v/>
      </c>
      <c r="L155" s="16"/>
      <c r="M155" s="16"/>
      <c r="N155" s="16"/>
      <c r="O155" s="20" t="str">
        <f t="shared" ca="1" si="8"/>
        <v/>
      </c>
      <c r="P155" s="16"/>
    </row>
    <row r="156" spans="1:16" x14ac:dyDescent="0.3">
      <c r="A156" s="15" t="str">
        <f t="shared" si="6"/>
        <v/>
      </c>
      <c r="B156" s="16"/>
      <c r="C156" s="16"/>
      <c r="D156" s="16"/>
      <c r="E156" s="17"/>
      <c r="F156" s="16"/>
      <c r="G156" s="16"/>
      <c r="H156" s="16"/>
      <c r="I156" s="18"/>
      <c r="J156" s="18"/>
      <c r="K156" s="19" t="str">
        <f t="shared" si="7"/>
        <v/>
      </c>
      <c r="L156" s="16"/>
      <c r="M156" s="16"/>
      <c r="N156" s="16"/>
      <c r="O156" s="20" t="str">
        <f t="shared" ca="1" si="8"/>
        <v/>
      </c>
      <c r="P156" s="16"/>
    </row>
    <row r="157" spans="1:16" x14ac:dyDescent="0.3">
      <c r="A157" s="15" t="str">
        <f t="shared" si="6"/>
        <v/>
      </c>
      <c r="B157" s="16"/>
      <c r="C157" s="16"/>
      <c r="D157" s="16"/>
      <c r="E157" s="17"/>
      <c r="F157" s="16"/>
      <c r="G157" s="16"/>
      <c r="H157" s="16"/>
      <c r="I157" s="18"/>
      <c r="J157" s="18"/>
      <c r="K157" s="19" t="str">
        <f t="shared" si="7"/>
        <v/>
      </c>
      <c r="L157" s="16"/>
      <c r="M157" s="16"/>
      <c r="N157" s="16"/>
      <c r="O157" s="20" t="str">
        <f t="shared" ca="1" si="8"/>
        <v/>
      </c>
      <c r="P157" s="16"/>
    </row>
    <row r="158" spans="1:16" x14ac:dyDescent="0.3">
      <c r="A158" s="15" t="str">
        <f t="shared" si="6"/>
        <v/>
      </c>
      <c r="B158" s="16"/>
      <c r="C158" s="16"/>
      <c r="D158" s="16"/>
      <c r="E158" s="17"/>
      <c r="F158" s="16"/>
      <c r="G158" s="16"/>
      <c r="H158" s="16"/>
      <c r="I158" s="18"/>
      <c r="J158" s="18"/>
      <c r="K158" s="19" t="str">
        <f t="shared" si="7"/>
        <v/>
      </c>
      <c r="L158" s="16"/>
      <c r="M158" s="16"/>
      <c r="N158" s="16"/>
      <c r="O158" s="20" t="str">
        <f t="shared" ca="1" si="8"/>
        <v/>
      </c>
      <c r="P158" s="16"/>
    </row>
    <row r="159" spans="1:16" x14ac:dyDescent="0.3">
      <c r="A159" s="15" t="str">
        <f t="shared" si="6"/>
        <v/>
      </c>
      <c r="B159" s="16"/>
      <c r="C159" s="16"/>
      <c r="D159" s="16"/>
      <c r="E159" s="17"/>
      <c r="F159" s="16"/>
      <c r="G159" s="16"/>
      <c r="H159" s="16"/>
      <c r="I159" s="18"/>
      <c r="J159" s="18"/>
      <c r="K159" s="19" t="str">
        <f t="shared" si="7"/>
        <v/>
      </c>
      <c r="L159" s="16"/>
      <c r="M159" s="16"/>
      <c r="N159" s="16"/>
      <c r="O159" s="20" t="str">
        <f t="shared" ca="1" si="8"/>
        <v/>
      </c>
      <c r="P159" s="16"/>
    </row>
    <row r="160" spans="1:16" x14ac:dyDescent="0.3">
      <c r="A160" s="15" t="str">
        <f t="shared" si="6"/>
        <v/>
      </c>
      <c r="B160" s="16"/>
      <c r="C160" s="16"/>
      <c r="D160" s="16"/>
      <c r="E160" s="17"/>
      <c r="F160" s="16"/>
      <c r="G160" s="16"/>
      <c r="H160" s="16"/>
      <c r="I160" s="18"/>
      <c r="J160" s="18"/>
      <c r="K160" s="19" t="str">
        <f t="shared" si="7"/>
        <v/>
      </c>
      <c r="L160" s="16"/>
      <c r="M160" s="16"/>
      <c r="N160" s="16"/>
      <c r="O160" s="20" t="str">
        <f t="shared" ca="1" si="8"/>
        <v/>
      </c>
      <c r="P160" s="16"/>
    </row>
    <row r="161" spans="1:16" x14ac:dyDescent="0.3">
      <c r="A161" s="15" t="str">
        <f t="shared" si="6"/>
        <v/>
      </c>
      <c r="B161" s="16"/>
      <c r="C161" s="16"/>
      <c r="D161" s="16"/>
      <c r="E161" s="17"/>
      <c r="F161" s="16"/>
      <c r="G161" s="16"/>
      <c r="H161" s="16"/>
      <c r="I161" s="18"/>
      <c r="J161" s="18"/>
      <c r="K161" s="19" t="str">
        <f t="shared" si="7"/>
        <v/>
      </c>
      <c r="L161" s="16"/>
      <c r="M161" s="16"/>
      <c r="N161" s="16"/>
      <c r="O161" s="20" t="str">
        <f t="shared" ca="1" si="8"/>
        <v/>
      </c>
      <c r="P161" s="16"/>
    </row>
    <row r="162" spans="1:16" x14ac:dyDescent="0.3">
      <c r="A162" s="15" t="str">
        <f t="shared" si="6"/>
        <v/>
      </c>
      <c r="B162" s="16"/>
      <c r="C162" s="16"/>
      <c r="D162" s="16"/>
      <c r="E162" s="17"/>
      <c r="F162" s="16"/>
      <c r="G162" s="16"/>
      <c r="H162" s="16"/>
      <c r="I162" s="18"/>
      <c r="J162" s="18"/>
      <c r="K162" s="19" t="str">
        <f t="shared" si="7"/>
        <v/>
      </c>
      <c r="L162" s="16"/>
      <c r="M162" s="16"/>
      <c r="N162" s="16"/>
      <c r="O162" s="20" t="str">
        <f t="shared" ca="1" si="8"/>
        <v/>
      </c>
      <c r="P162" s="16"/>
    </row>
    <row r="163" spans="1:16" x14ac:dyDescent="0.3">
      <c r="A163" s="15" t="str">
        <f t="shared" si="6"/>
        <v/>
      </c>
      <c r="B163" s="16"/>
      <c r="C163" s="16"/>
      <c r="D163" s="16"/>
      <c r="E163" s="17"/>
      <c r="F163" s="16"/>
      <c r="G163" s="16"/>
      <c r="H163" s="16"/>
      <c r="I163" s="18"/>
      <c r="J163" s="18"/>
      <c r="K163" s="19" t="str">
        <f t="shared" si="7"/>
        <v/>
      </c>
      <c r="L163" s="16"/>
      <c r="M163" s="16"/>
      <c r="N163" s="16"/>
      <c r="O163" s="20" t="str">
        <f t="shared" ca="1" si="8"/>
        <v/>
      </c>
      <c r="P163" s="16"/>
    </row>
    <row r="164" spans="1:16" x14ac:dyDescent="0.3">
      <c r="A164" s="15" t="str">
        <f t="shared" si="6"/>
        <v/>
      </c>
      <c r="B164" s="16"/>
      <c r="C164" s="16"/>
      <c r="D164" s="16"/>
      <c r="E164" s="17"/>
      <c r="F164" s="16"/>
      <c r="G164" s="16"/>
      <c r="H164" s="16"/>
      <c r="I164" s="18"/>
      <c r="J164" s="18"/>
      <c r="K164" s="19" t="str">
        <f t="shared" si="7"/>
        <v/>
      </c>
      <c r="L164" s="16"/>
      <c r="M164" s="16"/>
      <c r="N164" s="16"/>
      <c r="O164" s="20" t="str">
        <f t="shared" ca="1" si="8"/>
        <v/>
      </c>
      <c r="P164" s="16"/>
    </row>
    <row r="165" spans="1:16" x14ac:dyDescent="0.3">
      <c r="A165" s="15" t="str">
        <f t="shared" si="6"/>
        <v/>
      </c>
      <c r="B165" s="16"/>
      <c r="C165" s="16"/>
      <c r="D165" s="16"/>
      <c r="E165" s="17"/>
      <c r="F165" s="16"/>
      <c r="G165" s="16"/>
      <c r="H165" s="16"/>
      <c r="I165" s="18"/>
      <c r="J165" s="18"/>
      <c r="K165" s="19" t="str">
        <f t="shared" si="7"/>
        <v/>
      </c>
      <c r="L165" s="16"/>
      <c r="M165" s="16"/>
      <c r="N165" s="16"/>
      <c r="O165" s="20" t="str">
        <f t="shared" ca="1" si="8"/>
        <v/>
      </c>
      <c r="P165" s="16"/>
    </row>
    <row r="166" spans="1:16" x14ac:dyDescent="0.3">
      <c r="A166" s="15" t="str">
        <f t="shared" si="6"/>
        <v/>
      </c>
      <c r="B166" s="16"/>
      <c r="C166" s="16"/>
      <c r="D166" s="16"/>
      <c r="E166" s="17"/>
      <c r="F166" s="16"/>
      <c r="G166" s="16"/>
      <c r="H166" s="16"/>
      <c r="I166" s="18"/>
      <c r="J166" s="18"/>
      <c r="K166" s="19" t="str">
        <f t="shared" si="7"/>
        <v/>
      </c>
      <c r="L166" s="16"/>
      <c r="M166" s="16"/>
      <c r="N166" s="16"/>
      <c r="O166" s="20" t="str">
        <f t="shared" ca="1" si="8"/>
        <v/>
      </c>
      <c r="P166" s="16"/>
    </row>
    <row r="167" spans="1:16" x14ac:dyDescent="0.3">
      <c r="A167" s="15" t="str">
        <f t="shared" si="6"/>
        <v/>
      </c>
      <c r="B167" s="16"/>
      <c r="C167" s="16"/>
      <c r="D167" s="16"/>
      <c r="E167" s="17"/>
      <c r="F167" s="16"/>
      <c r="G167" s="16"/>
      <c r="H167" s="16"/>
      <c r="I167" s="18"/>
      <c r="J167" s="18"/>
      <c r="K167" s="19" t="str">
        <f t="shared" si="7"/>
        <v/>
      </c>
      <c r="L167" s="16"/>
      <c r="M167" s="16"/>
      <c r="N167" s="16"/>
      <c r="O167" s="20" t="str">
        <f t="shared" ca="1" si="8"/>
        <v/>
      </c>
      <c r="P167" s="16"/>
    </row>
    <row r="168" spans="1:16" x14ac:dyDescent="0.3">
      <c r="A168" s="15" t="str">
        <f t="shared" si="6"/>
        <v/>
      </c>
      <c r="B168" s="16"/>
      <c r="C168" s="16"/>
      <c r="D168" s="16"/>
      <c r="E168" s="17"/>
      <c r="F168" s="16"/>
      <c r="G168" s="16"/>
      <c r="H168" s="16"/>
      <c r="I168" s="18"/>
      <c r="J168" s="18"/>
      <c r="K168" s="19" t="str">
        <f t="shared" si="7"/>
        <v/>
      </c>
      <c r="L168" s="16"/>
      <c r="M168" s="16"/>
      <c r="N168" s="16"/>
      <c r="O168" s="20" t="str">
        <f t="shared" ca="1" si="8"/>
        <v/>
      </c>
      <c r="P168" s="16"/>
    </row>
    <row r="169" spans="1:16" x14ac:dyDescent="0.3">
      <c r="A169" s="15" t="str">
        <f t="shared" si="6"/>
        <v/>
      </c>
      <c r="B169" s="16"/>
      <c r="C169" s="16"/>
      <c r="D169" s="16"/>
      <c r="E169" s="17"/>
      <c r="F169" s="16"/>
      <c r="G169" s="16"/>
      <c r="H169" s="16"/>
      <c r="I169" s="18"/>
      <c r="J169" s="18"/>
      <c r="K169" s="19" t="str">
        <f t="shared" si="7"/>
        <v/>
      </c>
      <c r="L169" s="16"/>
      <c r="M169" s="16"/>
      <c r="N169" s="16"/>
      <c r="O169" s="20" t="str">
        <f t="shared" ca="1" si="8"/>
        <v/>
      </c>
      <c r="P169" s="16"/>
    </row>
    <row r="170" spans="1:16" x14ac:dyDescent="0.3">
      <c r="A170" s="15" t="str">
        <f t="shared" si="6"/>
        <v/>
      </c>
      <c r="B170" s="16"/>
      <c r="C170" s="16"/>
      <c r="D170" s="16"/>
      <c r="E170" s="17"/>
      <c r="F170" s="16"/>
      <c r="G170" s="16"/>
      <c r="H170" s="16"/>
      <c r="I170" s="18"/>
      <c r="J170" s="18"/>
      <c r="K170" s="19" t="str">
        <f t="shared" si="7"/>
        <v/>
      </c>
      <c r="L170" s="16"/>
      <c r="M170" s="16"/>
      <c r="N170" s="16"/>
      <c r="O170" s="20" t="str">
        <f t="shared" ca="1" si="8"/>
        <v/>
      </c>
      <c r="P170" s="16"/>
    </row>
    <row r="171" spans="1:16" x14ac:dyDescent="0.3">
      <c r="A171" s="15" t="str">
        <f t="shared" si="6"/>
        <v/>
      </c>
      <c r="B171" s="16"/>
      <c r="C171" s="16"/>
      <c r="D171" s="16"/>
      <c r="E171" s="17"/>
      <c r="F171" s="16"/>
      <c r="G171" s="16"/>
      <c r="H171" s="16"/>
      <c r="I171" s="18"/>
      <c r="J171" s="18"/>
      <c r="K171" s="19" t="str">
        <f t="shared" si="7"/>
        <v/>
      </c>
      <c r="L171" s="16"/>
      <c r="M171" s="16"/>
      <c r="N171" s="16"/>
      <c r="O171" s="20" t="str">
        <f t="shared" ca="1" si="8"/>
        <v/>
      </c>
      <c r="P171" s="16"/>
    </row>
    <row r="172" spans="1:16" x14ac:dyDescent="0.3">
      <c r="A172" s="15" t="str">
        <f t="shared" si="6"/>
        <v/>
      </c>
      <c r="B172" s="16"/>
      <c r="C172" s="16"/>
      <c r="D172" s="16"/>
      <c r="E172" s="17"/>
      <c r="F172" s="16"/>
      <c r="G172" s="16"/>
      <c r="H172" s="16"/>
      <c r="I172" s="18"/>
      <c r="J172" s="18"/>
      <c r="K172" s="19" t="str">
        <f t="shared" si="7"/>
        <v/>
      </c>
      <c r="L172" s="16"/>
      <c r="M172" s="16"/>
      <c r="N172" s="16"/>
      <c r="O172" s="20" t="str">
        <f t="shared" ca="1" si="8"/>
        <v/>
      </c>
      <c r="P172" s="16"/>
    </row>
    <row r="173" spans="1:16" x14ac:dyDescent="0.3">
      <c r="A173" s="15" t="str">
        <f t="shared" si="6"/>
        <v/>
      </c>
      <c r="B173" s="16"/>
      <c r="C173" s="16"/>
      <c r="D173" s="16"/>
      <c r="E173" s="17"/>
      <c r="F173" s="16"/>
      <c r="G173" s="16"/>
      <c r="H173" s="16"/>
      <c r="I173" s="18"/>
      <c r="J173" s="18"/>
      <c r="K173" s="19" t="str">
        <f t="shared" si="7"/>
        <v/>
      </c>
      <c r="L173" s="16"/>
      <c r="M173" s="16"/>
      <c r="N173" s="16"/>
      <c r="O173" s="20" t="str">
        <f t="shared" ca="1" si="8"/>
        <v/>
      </c>
      <c r="P173" s="16"/>
    </row>
    <row r="174" spans="1:16" x14ac:dyDescent="0.3">
      <c r="A174" s="15" t="str">
        <f t="shared" si="6"/>
        <v/>
      </c>
      <c r="B174" s="16"/>
      <c r="C174" s="16"/>
      <c r="D174" s="16"/>
      <c r="E174" s="17"/>
      <c r="F174" s="16"/>
      <c r="G174" s="16"/>
      <c r="H174" s="16"/>
      <c r="I174" s="18"/>
      <c r="J174" s="18"/>
      <c r="K174" s="19" t="str">
        <f t="shared" si="7"/>
        <v/>
      </c>
      <c r="L174" s="16"/>
      <c r="M174" s="16"/>
      <c r="N174" s="16"/>
      <c r="O174" s="20" t="str">
        <f t="shared" ca="1" si="8"/>
        <v/>
      </c>
      <c r="P174" s="16"/>
    </row>
    <row r="175" spans="1:16" x14ac:dyDescent="0.3">
      <c r="A175" s="15" t="str">
        <f t="shared" si="6"/>
        <v/>
      </c>
      <c r="B175" s="16"/>
      <c r="C175" s="16"/>
      <c r="D175" s="16"/>
      <c r="E175" s="17"/>
      <c r="F175" s="16"/>
      <c r="G175" s="16"/>
      <c r="H175" s="16"/>
      <c r="I175" s="18"/>
      <c r="J175" s="18"/>
      <c r="K175" s="19" t="str">
        <f t="shared" si="7"/>
        <v/>
      </c>
      <c r="L175" s="16"/>
      <c r="M175" s="16"/>
      <c r="N175" s="16"/>
      <c r="O175" s="20" t="str">
        <f t="shared" ca="1" si="8"/>
        <v/>
      </c>
      <c r="P175" s="16"/>
    </row>
    <row r="176" spans="1:16" x14ac:dyDescent="0.3">
      <c r="A176" s="15" t="str">
        <f t="shared" si="6"/>
        <v/>
      </c>
      <c r="B176" s="16"/>
      <c r="C176" s="16"/>
      <c r="D176" s="16"/>
      <c r="E176" s="17"/>
      <c r="F176" s="16"/>
      <c r="G176" s="16"/>
      <c r="H176" s="16"/>
      <c r="I176" s="18"/>
      <c r="J176" s="18"/>
      <c r="K176" s="19" t="str">
        <f t="shared" si="7"/>
        <v/>
      </c>
      <c r="L176" s="16"/>
      <c r="M176" s="16"/>
      <c r="N176" s="16"/>
      <c r="O176" s="20" t="str">
        <f t="shared" ca="1" si="8"/>
        <v/>
      </c>
      <c r="P176" s="16"/>
    </row>
    <row r="177" spans="1:16" x14ac:dyDescent="0.3">
      <c r="A177" s="15" t="str">
        <f t="shared" si="6"/>
        <v/>
      </c>
      <c r="B177" s="16"/>
      <c r="C177" s="16"/>
      <c r="D177" s="16"/>
      <c r="E177" s="17"/>
      <c r="F177" s="16"/>
      <c r="G177" s="16"/>
      <c r="H177" s="16"/>
      <c r="I177" s="18"/>
      <c r="J177" s="18"/>
      <c r="K177" s="19" t="str">
        <f t="shared" si="7"/>
        <v/>
      </c>
      <c r="L177" s="16"/>
      <c r="M177" s="16"/>
      <c r="N177" s="16"/>
      <c r="O177" s="20" t="str">
        <f t="shared" ca="1" si="8"/>
        <v/>
      </c>
      <c r="P177" s="16"/>
    </row>
    <row r="178" spans="1:16" x14ac:dyDescent="0.3">
      <c r="A178" s="15" t="str">
        <f t="shared" si="6"/>
        <v/>
      </c>
      <c r="B178" s="16"/>
      <c r="C178" s="16"/>
      <c r="D178" s="16"/>
      <c r="E178" s="17"/>
      <c r="F178" s="16"/>
      <c r="G178" s="16"/>
      <c r="H178" s="16"/>
      <c r="I178" s="18"/>
      <c r="J178" s="18"/>
      <c r="K178" s="19" t="str">
        <f t="shared" si="7"/>
        <v/>
      </c>
      <c r="L178" s="16"/>
      <c r="M178" s="16"/>
      <c r="N178" s="16"/>
      <c r="O178" s="20" t="str">
        <f t="shared" ca="1" si="8"/>
        <v/>
      </c>
      <c r="P178" s="16"/>
    </row>
    <row r="179" spans="1:16" x14ac:dyDescent="0.3">
      <c r="A179" s="15" t="str">
        <f t="shared" si="6"/>
        <v/>
      </c>
      <c r="B179" s="16"/>
      <c r="C179" s="16"/>
      <c r="D179" s="16"/>
      <c r="E179" s="17"/>
      <c r="F179" s="16"/>
      <c r="G179" s="16"/>
      <c r="H179" s="16"/>
      <c r="I179" s="18"/>
      <c r="J179" s="18"/>
      <c r="K179" s="19" t="str">
        <f t="shared" si="7"/>
        <v/>
      </c>
      <c r="L179" s="16"/>
      <c r="M179" s="16"/>
      <c r="N179" s="16"/>
      <c r="O179" s="20" t="str">
        <f t="shared" ca="1" si="8"/>
        <v/>
      </c>
      <c r="P179" s="16"/>
    </row>
    <row r="180" spans="1:16" x14ac:dyDescent="0.3">
      <c r="A180" s="15" t="str">
        <f t="shared" si="6"/>
        <v/>
      </c>
      <c r="B180" s="16"/>
      <c r="C180" s="16"/>
      <c r="D180" s="16"/>
      <c r="E180" s="17"/>
      <c r="F180" s="16"/>
      <c r="G180" s="16"/>
      <c r="H180" s="16"/>
      <c r="I180" s="18"/>
      <c r="J180" s="18"/>
      <c r="K180" s="19" t="str">
        <f t="shared" si="7"/>
        <v/>
      </c>
      <c r="L180" s="16"/>
      <c r="M180" s="16"/>
      <c r="N180" s="16"/>
      <c r="O180" s="20" t="str">
        <f t="shared" ca="1" si="8"/>
        <v/>
      </c>
      <c r="P180" s="16"/>
    </row>
    <row r="181" spans="1:16" x14ac:dyDescent="0.3">
      <c r="A181" s="15" t="str">
        <f t="shared" si="6"/>
        <v/>
      </c>
      <c r="B181" s="16"/>
      <c r="C181" s="16"/>
      <c r="D181" s="16"/>
      <c r="E181" s="17"/>
      <c r="F181" s="16"/>
      <c r="G181" s="16"/>
      <c r="H181" s="16"/>
      <c r="I181" s="18"/>
      <c r="J181" s="18"/>
      <c r="K181" s="19" t="str">
        <f t="shared" si="7"/>
        <v/>
      </c>
      <c r="L181" s="16"/>
      <c r="M181" s="16"/>
      <c r="N181" s="16"/>
      <c r="O181" s="20" t="str">
        <f t="shared" ca="1" si="8"/>
        <v/>
      </c>
      <c r="P181" s="16"/>
    </row>
    <row r="182" spans="1:16" x14ac:dyDescent="0.3">
      <c r="A182" s="15" t="str">
        <f t="shared" si="6"/>
        <v/>
      </c>
      <c r="B182" s="16"/>
      <c r="C182" s="16"/>
      <c r="D182" s="16"/>
      <c r="E182" s="17"/>
      <c r="F182" s="16"/>
      <c r="G182" s="16"/>
      <c r="H182" s="16"/>
      <c r="I182" s="18"/>
      <c r="J182" s="18"/>
      <c r="K182" s="19" t="str">
        <f t="shared" si="7"/>
        <v/>
      </c>
      <c r="L182" s="16"/>
      <c r="M182" s="16"/>
      <c r="N182" s="16"/>
      <c r="O182" s="20" t="str">
        <f t="shared" ca="1" si="8"/>
        <v/>
      </c>
      <c r="P182" s="16"/>
    </row>
    <row r="183" spans="1:16" x14ac:dyDescent="0.3">
      <c r="A183" s="15" t="str">
        <f t="shared" si="6"/>
        <v/>
      </c>
      <c r="B183" s="16"/>
      <c r="C183" s="16"/>
      <c r="D183" s="16"/>
      <c r="E183" s="17"/>
      <c r="F183" s="16"/>
      <c r="G183" s="16"/>
      <c r="H183" s="16"/>
      <c r="I183" s="18"/>
      <c r="J183" s="18"/>
      <c r="K183" s="19" t="str">
        <f t="shared" si="7"/>
        <v/>
      </c>
      <c r="L183" s="16"/>
      <c r="M183" s="16"/>
      <c r="N183" s="16"/>
      <c r="O183" s="20" t="str">
        <f t="shared" ca="1" si="8"/>
        <v/>
      </c>
      <c r="P183" s="16"/>
    </row>
    <row r="184" spans="1:16" x14ac:dyDescent="0.3">
      <c r="A184" s="15" t="str">
        <f t="shared" si="6"/>
        <v/>
      </c>
      <c r="B184" s="16"/>
      <c r="C184" s="16"/>
      <c r="D184" s="16"/>
      <c r="E184" s="17"/>
      <c r="F184" s="16"/>
      <c r="G184" s="16"/>
      <c r="H184" s="16"/>
      <c r="I184" s="18"/>
      <c r="J184" s="18"/>
      <c r="K184" s="19" t="str">
        <f t="shared" si="7"/>
        <v/>
      </c>
      <c r="L184" s="16"/>
      <c r="M184" s="16"/>
      <c r="N184" s="16"/>
      <c r="O184" s="20" t="str">
        <f t="shared" ca="1" si="8"/>
        <v/>
      </c>
      <c r="P184" s="16"/>
    </row>
    <row r="185" spans="1:16" x14ac:dyDescent="0.3">
      <c r="A185" s="15" t="str">
        <f t="shared" si="6"/>
        <v/>
      </c>
      <c r="B185" s="16"/>
      <c r="C185" s="16"/>
      <c r="D185" s="16"/>
      <c r="E185" s="17"/>
      <c r="F185" s="16"/>
      <c r="G185" s="16"/>
      <c r="H185" s="16"/>
      <c r="I185" s="18"/>
      <c r="J185" s="18"/>
      <c r="K185" s="19" t="str">
        <f t="shared" si="7"/>
        <v/>
      </c>
      <c r="L185" s="16"/>
      <c r="M185" s="16"/>
      <c r="N185" s="16"/>
      <c r="O185" s="20" t="str">
        <f t="shared" ca="1" si="8"/>
        <v/>
      </c>
      <c r="P185" s="16"/>
    </row>
    <row r="186" spans="1:16" x14ac:dyDescent="0.3">
      <c r="A186" s="15" t="str">
        <f t="shared" si="6"/>
        <v/>
      </c>
      <c r="B186" s="16"/>
      <c r="C186" s="16"/>
      <c r="D186" s="16"/>
      <c r="E186" s="17"/>
      <c r="F186" s="16"/>
      <c r="G186" s="16"/>
      <c r="H186" s="16"/>
      <c r="I186" s="18"/>
      <c r="J186" s="18"/>
      <c r="K186" s="19" t="str">
        <f t="shared" si="7"/>
        <v/>
      </c>
      <c r="L186" s="16"/>
      <c r="M186" s="16"/>
      <c r="N186" s="16"/>
      <c r="O186" s="20" t="str">
        <f t="shared" ca="1" si="8"/>
        <v/>
      </c>
      <c r="P186" s="16"/>
    </row>
    <row r="187" spans="1:16" x14ac:dyDescent="0.3">
      <c r="A187" s="15" t="str">
        <f t="shared" si="6"/>
        <v/>
      </c>
      <c r="B187" s="16"/>
      <c r="C187" s="16"/>
      <c r="D187" s="16"/>
      <c r="E187" s="17"/>
      <c r="F187" s="16"/>
      <c r="G187" s="16"/>
      <c r="H187" s="16"/>
      <c r="I187" s="18"/>
      <c r="J187" s="18"/>
      <c r="K187" s="19" t="str">
        <f t="shared" si="7"/>
        <v/>
      </c>
      <c r="L187" s="16"/>
      <c r="M187" s="16"/>
      <c r="N187" s="16"/>
      <c r="O187" s="20" t="str">
        <f t="shared" ca="1" si="8"/>
        <v/>
      </c>
      <c r="P187" s="16"/>
    </row>
    <row r="188" spans="1:16" x14ac:dyDescent="0.3">
      <c r="A188" s="15" t="str">
        <f t="shared" si="6"/>
        <v/>
      </c>
      <c r="B188" s="16"/>
      <c r="C188" s="16"/>
      <c r="D188" s="16"/>
      <c r="E188" s="17"/>
      <c r="F188" s="16"/>
      <c r="G188" s="16"/>
      <c r="H188" s="16"/>
      <c r="I188" s="18"/>
      <c r="J188" s="18"/>
      <c r="K188" s="19" t="str">
        <f t="shared" si="7"/>
        <v/>
      </c>
      <c r="L188" s="16"/>
      <c r="M188" s="16"/>
      <c r="N188" s="16"/>
      <c r="O188" s="20" t="str">
        <f t="shared" ca="1" si="8"/>
        <v/>
      </c>
      <c r="P188" s="16"/>
    </row>
    <row r="189" spans="1:16" x14ac:dyDescent="0.3">
      <c r="A189" s="15" t="str">
        <f t="shared" si="6"/>
        <v/>
      </c>
      <c r="B189" s="16"/>
      <c r="C189" s="16"/>
      <c r="D189" s="16"/>
      <c r="E189" s="17"/>
      <c r="F189" s="16"/>
      <c r="G189" s="16"/>
      <c r="H189" s="16"/>
      <c r="I189" s="18"/>
      <c r="J189" s="18"/>
      <c r="K189" s="19" t="str">
        <f t="shared" si="7"/>
        <v/>
      </c>
      <c r="L189" s="16"/>
      <c r="M189" s="16"/>
      <c r="N189" s="16"/>
      <c r="O189" s="20" t="str">
        <f t="shared" ca="1" si="8"/>
        <v/>
      </c>
      <c r="P189" s="16"/>
    </row>
    <row r="190" spans="1:16" x14ac:dyDescent="0.3">
      <c r="A190" s="15" t="str">
        <f t="shared" si="6"/>
        <v/>
      </c>
      <c r="B190" s="16"/>
      <c r="C190" s="16"/>
      <c r="D190" s="16"/>
      <c r="E190" s="17"/>
      <c r="F190" s="16"/>
      <c r="G190" s="16"/>
      <c r="H190" s="16"/>
      <c r="I190" s="18"/>
      <c r="J190" s="18"/>
      <c r="K190" s="19" t="str">
        <f t="shared" si="7"/>
        <v/>
      </c>
      <c r="L190" s="16"/>
      <c r="M190" s="16"/>
      <c r="N190" s="16"/>
      <c r="O190" s="20" t="str">
        <f t="shared" ca="1" si="8"/>
        <v/>
      </c>
      <c r="P190" s="16"/>
    </row>
    <row r="191" spans="1:16" x14ac:dyDescent="0.3">
      <c r="A191" s="15" t="str">
        <f t="shared" si="6"/>
        <v/>
      </c>
      <c r="B191" s="16"/>
      <c r="C191" s="16"/>
      <c r="D191" s="16"/>
      <c r="E191" s="17"/>
      <c r="F191" s="16"/>
      <c r="G191" s="16"/>
      <c r="H191" s="16"/>
      <c r="I191" s="18"/>
      <c r="J191" s="18"/>
      <c r="K191" s="19" t="str">
        <f t="shared" si="7"/>
        <v/>
      </c>
      <c r="L191" s="16"/>
      <c r="M191" s="16"/>
      <c r="N191" s="16"/>
      <c r="O191" s="20" t="str">
        <f t="shared" ca="1" si="8"/>
        <v/>
      </c>
      <c r="P191" s="16"/>
    </row>
    <row r="192" spans="1:16" x14ac:dyDescent="0.3">
      <c r="A192" s="15" t="str">
        <f t="shared" si="6"/>
        <v/>
      </c>
      <c r="B192" s="16"/>
      <c r="C192" s="16"/>
      <c r="D192" s="16"/>
      <c r="E192" s="17"/>
      <c r="F192" s="16"/>
      <c r="G192" s="16"/>
      <c r="H192" s="16"/>
      <c r="I192" s="18"/>
      <c r="J192" s="18"/>
      <c r="K192" s="19" t="str">
        <f t="shared" si="7"/>
        <v/>
      </c>
      <c r="L192" s="16"/>
      <c r="M192" s="16"/>
      <c r="N192" s="16"/>
      <c r="O192" s="20" t="str">
        <f t="shared" ca="1" si="8"/>
        <v/>
      </c>
      <c r="P192" s="16"/>
    </row>
    <row r="193" spans="1:16" x14ac:dyDescent="0.3">
      <c r="A193" s="15" t="str">
        <f t="shared" si="6"/>
        <v/>
      </c>
      <c r="B193" s="16"/>
      <c r="C193" s="16"/>
      <c r="D193" s="16"/>
      <c r="E193" s="17"/>
      <c r="F193" s="16"/>
      <c r="G193" s="16"/>
      <c r="H193" s="16"/>
      <c r="I193" s="18"/>
      <c r="J193" s="18"/>
      <c r="K193" s="19" t="str">
        <f t="shared" si="7"/>
        <v/>
      </c>
      <c r="L193" s="16"/>
      <c r="M193" s="16"/>
      <c r="N193" s="16"/>
      <c r="O193" s="20" t="str">
        <f t="shared" ca="1" si="8"/>
        <v/>
      </c>
      <c r="P193" s="16"/>
    </row>
    <row r="194" spans="1:16" x14ac:dyDescent="0.3">
      <c r="A194" s="15" t="str">
        <f t="shared" ref="A194:A257" si="9">IF(B194="","","JOB-"&amp;TEXT(ROW()-1,"0000"))</f>
        <v/>
      </c>
      <c r="B194" s="16"/>
      <c r="C194" s="16"/>
      <c r="D194" s="16"/>
      <c r="E194" s="17"/>
      <c r="F194" s="16"/>
      <c r="G194" s="16"/>
      <c r="H194" s="16"/>
      <c r="I194" s="18"/>
      <c r="J194" s="18"/>
      <c r="K194" s="19" t="str">
        <f t="shared" ref="K194:K257" si="10">IF(B194="","",IF(H194="paid",0,MAX(0,I194-J194)))</f>
        <v/>
      </c>
      <c r="L194" s="16"/>
      <c r="M194" s="16"/>
      <c r="N194" s="16"/>
      <c r="O194" s="20" t="str">
        <f t="shared" ref="O194:O257" ca="1" si="11">IF(B194="","",TODAY())</f>
        <v/>
      </c>
      <c r="P194" s="16"/>
    </row>
    <row r="195" spans="1:16" x14ac:dyDescent="0.3">
      <c r="A195" s="15" t="str">
        <f t="shared" si="9"/>
        <v/>
      </c>
      <c r="B195" s="16"/>
      <c r="C195" s="16"/>
      <c r="D195" s="16"/>
      <c r="E195" s="17"/>
      <c r="F195" s="16"/>
      <c r="G195" s="16"/>
      <c r="H195" s="16"/>
      <c r="I195" s="18"/>
      <c r="J195" s="18"/>
      <c r="K195" s="19" t="str">
        <f t="shared" si="10"/>
        <v/>
      </c>
      <c r="L195" s="16"/>
      <c r="M195" s="16"/>
      <c r="N195" s="16"/>
      <c r="O195" s="20" t="str">
        <f t="shared" ca="1" si="11"/>
        <v/>
      </c>
      <c r="P195" s="16"/>
    </row>
    <row r="196" spans="1:16" x14ac:dyDescent="0.3">
      <c r="A196" s="15" t="str">
        <f t="shared" si="9"/>
        <v/>
      </c>
      <c r="B196" s="16"/>
      <c r="C196" s="16"/>
      <c r="D196" s="16"/>
      <c r="E196" s="17"/>
      <c r="F196" s="16"/>
      <c r="G196" s="16"/>
      <c r="H196" s="16"/>
      <c r="I196" s="18"/>
      <c r="J196" s="18"/>
      <c r="K196" s="19" t="str">
        <f t="shared" si="10"/>
        <v/>
      </c>
      <c r="L196" s="16"/>
      <c r="M196" s="16"/>
      <c r="N196" s="16"/>
      <c r="O196" s="20" t="str">
        <f t="shared" ca="1" si="11"/>
        <v/>
      </c>
      <c r="P196" s="16"/>
    </row>
    <row r="197" spans="1:16" x14ac:dyDescent="0.3">
      <c r="A197" s="15" t="str">
        <f t="shared" si="9"/>
        <v/>
      </c>
      <c r="B197" s="16"/>
      <c r="C197" s="16"/>
      <c r="D197" s="16"/>
      <c r="E197" s="17"/>
      <c r="F197" s="16"/>
      <c r="G197" s="16"/>
      <c r="H197" s="16"/>
      <c r="I197" s="18"/>
      <c r="J197" s="18"/>
      <c r="K197" s="19" t="str">
        <f t="shared" si="10"/>
        <v/>
      </c>
      <c r="L197" s="16"/>
      <c r="M197" s="16"/>
      <c r="N197" s="16"/>
      <c r="O197" s="20" t="str">
        <f t="shared" ca="1" si="11"/>
        <v/>
      </c>
      <c r="P197" s="16"/>
    </row>
    <row r="198" spans="1:16" x14ac:dyDescent="0.3">
      <c r="A198" s="15" t="str">
        <f t="shared" si="9"/>
        <v/>
      </c>
      <c r="B198" s="16"/>
      <c r="C198" s="16"/>
      <c r="D198" s="16"/>
      <c r="E198" s="17"/>
      <c r="F198" s="16"/>
      <c r="G198" s="16"/>
      <c r="H198" s="16"/>
      <c r="I198" s="18"/>
      <c r="J198" s="18"/>
      <c r="K198" s="19" t="str">
        <f t="shared" si="10"/>
        <v/>
      </c>
      <c r="L198" s="16"/>
      <c r="M198" s="16"/>
      <c r="N198" s="16"/>
      <c r="O198" s="20" t="str">
        <f t="shared" ca="1" si="11"/>
        <v/>
      </c>
      <c r="P198" s="16"/>
    </row>
    <row r="199" spans="1:16" x14ac:dyDescent="0.3">
      <c r="A199" s="15" t="str">
        <f t="shared" si="9"/>
        <v/>
      </c>
      <c r="B199" s="16"/>
      <c r="C199" s="16"/>
      <c r="D199" s="16"/>
      <c r="E199" s="17"/>
      <c r="F199" s="16"/>
      <c r="G199" s="16"/>
      <c r="H199" s="16"/>
      <c r="I199" s="18"/>
      <c r="J199" s="18"/>
      <c r="K199" s="19" t="str">
        <f t="shared" si="10"/>
        <v/>
      </c>
      <c r="L199" s="16"/>
      <c r="M199" s="16"/>
      <c r="N199" s="16"/>
      <c r="O199" s="20" t="str">
        <f t="shared" ca="1" si="11"/>
        <v/>
      </c>
      <c r="P199" s="16"/>
    </row>
    <row r="200" spans="1:16" x14ac:dyDescent="0.3">
      <c r="A200" s="15" t="str">
        <f t="shared" si="9"/>
        <v/>
      </c>
      <c r="B200" s="16"/>
      <c r="C200" s="16"/>
      <c r="D200" s="16"/>
      <c r="E200" s="17"/>
      <c r="F200" s="16"/>
      <c r="G200" s="16"/>
      <c r="H200" s="16"/>
      <c r="I200" s="18"/>
      <c r="J200" s="18"/>
      <c r="K200" s="19" t="str">
        <f t="shared" si="10"/>
        <v/>
      </c>
      <c r="L200" s="16"/>
      <c r="M200" s="16"/>
      <c r="N200" s="16"/>
      <c r="O200" s="20" t="str">
        <f t="shared" ca="1" si="11"/>
        <v/>
      </c>
      <c r="P200" s="16"/>
    </row>
    <row r="201" spans="1:16" x14ac:dyDescent="0.3">
      <c r="A201" s="15" t="str">
        <f t="shared" si="9"/>
        <v/>
      </c>
      <c r="B201" s="16"/>
      <c r="C201" s="16"/>
      <c r="D201" s="16"/>
      <c r="E201" s="17"/>
      <c r="F201" s="16"/>
      <c r="G201" s="16"/>
      <c r="H201" s="16"/>
      <c r="I201" s="18"/>
      <c r="J201" s="18"/>
      <c r="K201" s="19" t="str">
        <f t="shared" si="10"/>
        <v/>
      </c>
      <c r="L201" s="16"/>
      <c r="M201" s="16"/>
      <c r="N201" s="16"/>
      <c r="O201" s="20" t="str">
        <f t="shared" ca="1" si="11"/>
        <v/>
      </c>
      <c r="P201" s="16"/>
    </row>
    <row r="202" spans="1:16" x14ac:dyDescent="0.3">
      <c r="A202" s="15" t="str">
        <f t="shared" si="9"/>
        <v/>
      </c>
      <c r="B202" s="16"/>
      <c r="C202" s="16"/>
      <c r="D202" s="16"/>
      <c r="E202" s="17"/>
      <c r="F202" s="16"/>
      <c r="G202" s="16"/>
      <c r="H202" s="16"/>
      <c r="I202" s="18"/>
      <c r="J202" s="18"/>
      <c r="K202" s="19" t="str">
        <f t="shared" si="10"/>
        <v/>
      </c>
      <c r="L202" s="16"/>
      <c r="M202" s="16"/>
      <c r="N202" s="16"/>
      <c r="O202" s="20" t="str">
        <f t="shared" ca="1" si="11"/>
        <v/>
      </c>
      <c r="P202" s="16"/>
    </row>
    <row r="203" spans="1:16" x14ac:dyDescent="0.3">
      <c r="A203" s="15" t="str">
        <f t="shared" si="9"/>
        <v/>
      </c>
      <c r="B203" s="16"/>
      <c r="C203" s="16"/>
      <c r="D203" s="16"/>
      <c r="E203" s="17"/>
      <c r="F203" s="16"/>
      <c r="G203" s="16"/>
      <c r="H203" s="16"/>
      <c r="I203" s="18"/>
      <c r="J203" s="18"/>
      <c r="K203" s="19" t="str">
        <f t="shared" si="10"/>
        <v/>
      </c>
      <c r="L203" s="16"/>
      <c r="M203" s="16"/>
      <c r="N203" s="16"/>
      <c r="O203" s="20" t="str">
        <f t="shared" ca="1" si="11"/>
        <v/>
      </c>
      <c r="P203" s="16"/>
    </row>
    <row r="204" spans="1:16" x14ac:dyDescent="0.3">
      <c r="A204" s="15" t="str">
        <f t="shared" si="9"/>
        <v/>
      </c>
      <c r="B204" s="16"/>
      <c r="C204" s="16"/>
      <c r="D204" s="16"/>
      <c r="E204" s="17"/>
      <c r="F204" s="16"/>
      <c r="G204" s="16"/>
      <c r="H204" s="16"/>
      <c r="I204" s="18"/>
      <c r="J204" s="18"/>
      <c r="K204" s="19" t="str">
        <f t="shared" si="10"/>
        <v/>
      </c>
      <c r="L204" s="16"/>
      <c r="M204" s="16"/>
      <c r="N204" s="16"/>
      <c r="O204" s="20" t="str">
        <f t="shared" ca="1" si="11"/>
        <v/>
      </c>
      <c r="P204" s="16"/>
    </row>
    <row r="205" spans="1:16" x14ac:dyDescent="0.3">
      <c r="A205" s="15" t="str">
        <f t="shared" si="9"/>
        <v/>
      </c>
      <c r="B205" s="16"/>
      <c r="C205" s="16"/>
      <c r="D205" s="16"/>
      <c r="E205" s="17"/>
      <c r="F205" s="16"/>
      <c r="G205" s="16"/>
      <c r="H205" s="16"/>
      <c r="I205" s="18"/>
      <c r="J205" s="18"/>
      <c r="K205" s="19" t="str">
        <f t="shared" si="10"/>
        <v/>
      </c>
      <c r="L205" s="16"/>
      <c r="M205" s="16"/>
      <c r="N205" s="16"/>
      <c r="O205" s="20" t="str">
        <f t="shared" ca="1" si="11"/>
        <v/>
      </c>
      <c r="P205" s="16"/>
    </row>
    <row r="206" spans="1:16" x14ac:dyDescent="0.3">
      <c r="A206" s="15" t="str">
        <f t="shared" si="9"/>
        <v/>
      </c>
      <c r="B206" s="16"/>
      <c r="C206" s="16"/>
      <c r="D206" s="16"/>
      <c r="E206" s="17"/>
      <c r="F206" s="16"/>
      <c r="G206" s="16"/>
      <c r="H206" s="16"/>
      <c r="I206" s="18"/>
      <c r="J206" s="18"/>
      <c r="K206" s="19" t="str">
        <f t="shared" si="10"/>
        <v/>
      </c>
      <c r="L206" s="16"/>
      <c r="M206" s="16"/>
      <c r="N206" s="16"/>
      <c r="O206" s="20" t="str">
        <f t="shared" ca="1" si="11"/>
        <v/>
      </c>
      <c r="P206" s="16"/>
    </row>
    <row r="207" spans="1:16" x14ac:dyDescent="0.3">
      <c r="A207" s="15" t="str">
        <f t="shared" si="9"/>
        <v/>
      </c>
      <c r="B207" s="16"/>
      <c r="C207" s="16"/>
      <c r="D207" s="16"/>
      <c r="E207" s="17"/>
      <c r="F207" s="16"/>
      <c r="G207" s="16"/>
      <c r="H207" s="16"/>
      <c r="I207" s="18"/>
      <c r="J207" s="18"/>
      <c r="K207" s="19" t="str">
        <f t="shared" si="10"/>
        <v/>
      </c>
      <c r="L207" s="16"/>
      <c r="M207" s="16"/>
      <c r="N207" s="16"/>
      <c r="O207" s="20" t="str">
        <f t="shared" ca="1" si="11"/>
        <v/>
      </c>
      <c r="P207" s="16"/>
    </row>
    <row r="208" spans="1:16" x14ac:dyDescent="0.3">
      <c r="A208" s="15" t="str">
        <f t="shared" si="9"/>
        <v/>
      </c>
      <c r="B208" s="16"/>
      <c r="C208" s="16"/>
      <c r="D208" s="16"/>
      <c r="E208" s="17"/>
      <c r="F208" s="16"/>
      <c r="G208" s="16"/>
      <c r="H208" s="16"/>
      <c r="I208" s="18"/>
      <c r="J208" s="18"/>
      <c r="K208" s="19" t="str">
        <f t="shared" si="10"/>
        <v/>
      </c>
      <c r="L208" s="16"/>
      <c r="M208" s="16"/>
      <c r="N208" s="16"/>
      <c r="O208" s="20" t="str">
        <f t="shared" ca="1" si="11"/>
        <v/>
      </c>
      <c r="P208" s="16"/>
    </row>
    <row r="209" spans="1:16" x14ac:dyDescent="0.3">
      <c r="A209" s="15" t="str">
        <f t="shared" si="9"/>
        <v/>
      </c>
      <c r="B209" s="16"/>
      <c r="C209" s="16"/>
      <c r="D209" s="16"/>
      <c r="E209" s="17"/>
      <c r="F209" s="16"/>
      <c r="G209" s="16"/>
      <c r="H209" s="16"/>
      <c r="I209" s="18"/>
      <c r="J209" s="18"/>
      <c r="K209" s="19" t="str">
        <f t="shared" si="10"/>
        <v/>
      </c>
      <c r="L209" s="16"/>
      <c r="M209" s="16"/>
      <c r="N209" s="16"/>
      <c r="O209" s="20" t="str">
        <f t="shared" ca="1" si="11"/>
        <v/>
      </c>
      <c r="P209" s="16"/>
    </row>
    <row r="210" spans="1:16" x14ac:dyDescent="0.3">
      <c r="A210" s="15" t="str">
        <f t="shared" si="9"/>
        <v/>
      </c>
      <c r="B210" s="16"/>
      <c r="C210" s="16"/>
      <c r="D210" s="16"/>
      <c r="E210" s="17"/>
      <c r="F210" s="16"/>
      <c r="G210" s="16"/>
      <c r="H210" s="16"/>
      <c r="I210" s="18"/>
      <c r="J210" s="18"/>
      <c r="K210" s="19" t="str">
        <f t="shared" si="10"/>
        <v/>
      </c>
      <c r="L210" s="16"/>
      <c r="M210" s="16"/>
      <c r="N210" s="16"/>
      <c r="O210" s="20" t="str">
        <f t="shared" ca="1" si="11"/>
        <v/>
      </c>
      <c r="P210" s="16"/>
    </row>
    <row r="211" spans="1:16" x14ac:dyDescent="0.3">
      <c r="A211" s="15" t="str">
        <f t="shared" si="9"/>
        <v/>
      </c>
      <c r="B211" s="16"/>
      <c r="C211" s="16"/>
      <c r="D211" s="16"/>
      <c r="E211" s="17"/>
      <c r="F211" s="16"/>
      <c r="G211" s="16"/>
      <c r="H211" s="16"/>
      <c r="I211" s="18"/>
      <c r="J211" s="18"/>
      <c r="K211" s="19" t="str">
        <f t="shared" si="10"/>
        <v/>
      </c>
      <c r="L211" s="16"/>
      <c r="M211" s="16"/>
      <c r="N211" s="16"/>
      <c r="O211" s="20" t="str">
        <f t="shared" ca="1" si="11"/>
        <v/>
      </c>
      <c r="P211" s="16"/>
    </row>
    <row r="212" spans="1:16" x14ac:dyDescent="0.3">
      <c r="A212" s="15" t="str">
        <f t="shared" si="9"/>
        <v/>
      </c>
      <c r="B212" s="16"/>
      <c r="C212" s="16"/>
      <c r="D212" s="16"/>
      <c r="E212" s="17"/>
      <c r="F212" s="16"/>
      <c r="G212" s="16"/>
      <c r="H212" s="16"/>
      <c r="I212" s="18"/>
      <c r="J212" s="18"/>
      <c r="K212" s="19" t="str">
        <f t="shared" si="10"/>
        <v/>
      </c>
      <c r="L212" s="16"/>
      <c r="M212" s="16"/>
      <c r="N212" s="16"/>
      <c r="O212" s="20" t="str">
        <f t="shared" ca="1" si="11"/>
        <v/>
      </c>
      <c r="P212" s="16"/>
    </row>
    <row r="213" spans="1:16" x14ac:dyDescent="0.3">
      <c r="A213" s="15" t="str">
        <f t="shared" si="9"/>
        <v/>
      </c>
      <c r="B213" s="16"/>
      <c r="C213" s="16"/>
      <c r="D213" s="16"/>
      <c r="E213" s="17"/>
      <c r="F213" s="16"/>
      <c r="G213" s="16"/>
      <c r="H213" s="16"/>
      <c r="I213" s="18"/>
      <c r="J213" s="18"/>
      <c r="K213" s="19" t="str">
        <f t="shared" si="10"/>
        <v/>
      </c>
      <c r="L213" s="16"/>
      <c r="M213" s="16"/>
      <c r="N213" s="16"/>
      <c r="O213" s="20" t="str">
        <f t="shared" ca="1" si="11"/>
        <v/>
      </c>
      <c r="P213" s="16"/>
    </row>
    <row r="214" spans="1:16" x14ac:dyDescent="0.3">
      <c r="A214" s="15" t="str">
        <f t="shared" si="9"/>
        <v/>
      </c>
      <c r="B214" s="16"/>
      <c r="C214" s="16"/>
      <c r="D214" s="16"/>
      <c r="E214" s="17"/>
      <c r="F214" s="16"/>
      <c r="G214" s="16"/>
      <c r="H214" s="16"/>
      <c r="I214" s="18"/>
      <c r="J214" s="18"/>
      <c r="K214" s="19" t="str">
        <f t="shared" si="10"/>
        <v/>
      </c>
      <c r="L214" s="16"/>
      <c r="M214" s="16"/>
      <c r="N214" s="16"/>
      <c r="O214" s="20" t="str">
        <f t="shared" ca="1" si="11"/>
        <v/>
      </c>
      <c r="P214" s="16"/>
    </row>
    <row r="215" spans="1:16" x14ac:dyDescent="0.3">
      <c r="A215" s="15" t="str">
        <f t="shared" si="9"/>
        <v/>
      </c>
      <c r="B215" s="16"/>
      <c r="C215" s="16"/>
      <c r="D215" s="16"/>
      <c r="E215" s="17"/>
      <c r="F215" s="16"/>
      <c r="G215" s="16"/>
      <c r="H215" s="16"/>
      <c r="I215" s="18"/>
      <c r="J215" s="18"/>
      <c r="K215" s="19" t="str">
        <f t="shared" si="10"/>
        <v/>
      </c>
      <c r="L215" s="16"/>
      <c r="M215" s="16"/>
      <c r="N215" s="16"/>
      <c r="O215" s="20" t="str">
        <f t="shared" ca="1" si="11"/>
        <v/>
      </c>
      <c r="P215" s="16"/>
    </row>
    <row r="216" spans="1:16" x14ac:dyDescent="0.3">
      <c r="A216" s="15" t="str">
        <f t="shared" si="9"/>
        <v/>
      </c>
      <c r="B216" s="16"/>
      <c r="C216" s="16"/>
      <c r="D216" s="16"/>
      <c r="E216" s="17"/>
      <c r="F216" s="16"/>
      <c r="G216" s="16"/>
      <c r="H216" s="16"/>
      <c r="I216" s="18"/>
      <c r="J216" s="18"/>
      <c r="K216" s="19" t="str">
        <f t="shared" si="10"/>
        <v/>
      </c>
      <c r="L216" s="16"/>
      <c r="M216" s="16"/>
      <c r="N216" s="16"/>
      <c r="O216" s="20" t="str">
        <f t="shared" ca="1" si="11"/>
        <v/>
      </c>
      <c r="P216" s="16"/>
    </row>
    <row r="217" spans="1:16" x14ac:dyDescent="0.3">
      <c r="A217" s="15" t="str">
        <f t="shared" si="9"/>
        <v/>
      </c>
      <c r="B217" s="16"/>
      <c r="C217" s="16"/>
      <c r="D217" s="16"/>
      <c r="E217" s="17"/>
      <c r="F217" s="16"/>
      <c r="G217" s="16"/>
      <c r="H217" s="16"/>
      <c r="I217" s="18"/>
      <c r="J217" s="18"/>
      <c r="K217" s="19" t="str">
        <f t="shared" si="10"/>
        <v/>
      </c>
      <c r="L217" s="16"/>
      <c r="M217" s="16"/>
      <c r="N217" s="16"/>
      <c r="O217" s="20" t="str">
        <f t="shared" ca="1" si="11"/>
        <v/>
      </c>
      <c r="P217" s="16"/>
    </row>
    <row r="218" spans="1:16" x14ac:dyDescent="0.3">
      <c r="A218" s="15" t="str">
        <f t="shared" si="9"/>
        <v/>
      </c>
      <c r="B218" s="16"/>
      <c r="C218" s="16"/>
      <c r="D218" s="16"/>
      <c r="E218" s="17"/>
      <c r="F218" s="16"/>
      <c r="G218" s="16"/>
      <c r="H218" s="16"/>
      <c r="I218" s="18"/>
      <c r="J218" s="18"/>
      <c r="K218" s="19" t="str">
        <f t="shared" si="10"/>
        <v/>
      </c>
      <c r="L218" s="16"/>
      <c r="M218" s="16"/>
      <c r="N218" s="16"/>
      <c r="O218" s="20" t="str">
        <f t="shared" ca="1" si="11"/>
        <v/>
      </c>
      <c r="P218" s="16"/>
    </row>
    <row r="219" spans="1:16" x14ac:dyDescent="0.3">
      <c r="A219" s="15" t="str">
        <f t="shared" si="9"/>
        <v/>
      </c>
      <c r="B219" s="16"/>
      <c r="C219" s="16"/>
      <c r="D219" s="16"/>
      <c r="E219" s="17"/>
      <c r="F219" s="16"/>
      <c r="G219" s="16"/>
      <c r="H219" s="16"/>
      <c r="I219" s="18"/>
      <c r="J219" s="18"/>
      <c r="K219" s="19" t="str">
        <f t="shared" si="10"/>
        <v/>
      </c>
      <c r="L219" s="16"/>
      <c r="M219" s="16"/>
      <c r="N219" s="16"/>
      <c r="O219" s="20" t="str">
        <f t="shared" ca="1" si="11"/>
        <v/>
      </c>
      <c r="P219" s="16"/>
    </row>
    <row r="220" spans="1:16" x14ac:dyDescent="0.3">
      <c r="A220" s="15" t="str">
        <f t="shared" si="9"/>
        <v/>
      </c>
      <c r="B220" s="16"/>
      <c r="C220" s="16"/>
      <c r="D220" s="16"/>
      <c r="E220" s="17"/>
      <c r="F220" s="16"/>
      <c r="G220" s="16"/>
      <c r="H220" s="16"/>
      <c r="I220" s="18"/>
      <c r="J220" s="18"/>
      <c r="K220" s="19" t="str">
        <f t="shared" si="10"/>
        <v/>
      </c>
      <c r="L220" s="16"/>
      <c r="M220" s="16"/>
      <c r="N220" s="16"/>
      <c r="O220" s="20" t="str">
        <f t="shared" ca="1" si="11"/>
        <v/>
      </c>
      <c r="P220" s="16"/>
    </row>
    <row r="221" spans="1:16" x14ac:dyDescent="0.3">
      <c r="A221" s="15" t="str">
        <f t="shared" si="9"/>
        <v/>
      </c>
      <c r="B221" s="16"/>
      <c r="C221" s="16"/>
      <c r="D221" s="16"/>
      <c r="E221" s="17"/>
      <c r="F221" s="16"/>
      <c r="G221" s="16"/>
      <c r="H221" s="16"/>
      <c r="I221" s="18"/>
      <c r="J221" s="18"/>
      <c r="K221" s="19" t="str">
        <f t="shared" si="10"/>
        <v/>
      </c>
      <c r="L221" s="16"/>
      <c r="M221" s="16"/>
      <c r="N221" s="16"/>
      <c r="O221" s="20" t="str">
        <f t="shared" ca="1" si="11"/>
        <v/>
      </c>
      <c r="P221" s="16"/>
    </row>
    <row r="222" spans="1:16" x14ac:dyDescent="0.3">
      <c r="A222" s="15" t="str">
        <f t="shared" si="9"/>
        <v/>
      </c>
      <c r="B222" s="16"/>
      <c r="C222" s="16"/>
      <c r="D222" s="16"/>
      <c r="E222" s="17"/>
      <c r="F222" s="16"/>
      <c r="G222" s="16"/>
      <c r="H222" s="16"/>
      <c r="I222" s="18"/>
      <c r="J222" s="18"/>
      <c r="K222" s="19" t="str">
        <f t="shared" si="10"/>
        <v/>
      </c>
      <c r="L222" s="16"/>
      <c r="M222" s="16"/>
      <c r="N222" s="16"/>
      <c r="O222" s="20" t="str">
        <f t="shared" ca="1" si="11"/>
        <v/>
      </c>
      <c r="P222" s="16"/>
    </row>
    <row r="223" spans="1:16" x14ac:dyDescent="0.3">
      <c r="A223" s="15" t="str">
        <f t="shared" si="9"/>
        <v/>
      </c>
      <c r="B223" s="16"/>
      <c r="C223" s="16"/>
      <c r="D223" s="16"/>
      <c r="E223" s="17"/>
      <c r="F223" s="16"/>
      <c r="G223" s="16"/>
      <c r="H223" s="16"/>
      <c r="I223" s="18"/>
      <c r="J223" s="18"/>
      <c r="K223" s="19" t="str">
        <f t="shared" si="10"/>
        <v/>
      </c>
      <c r="L223" s="16"/>
      <c r="M223" s="16"/>
      <c r="N223" s="16"/>
      <c r="O223" s="20" t="str">
        <f t="shared" ca="1" si="11"/>
        <v/>
      </c>
      <c r="P223" s="16"/>
    </row>
    <row r="224" spans="1:16" x14ac:dyDescent="0.3">
      <c r="A224" s="15" t="str">
        <f t="shared" si="9"/>
        <v/>
      </c>
      <c r="B224" s="16"/>
      <c r="C224" s="16"/>
      <c r="D224" s="16"/>
      <c r="E224" s="17"/>
      <c r="F224" s="16"/>
      <c r="G224" s="16"/>
      <c r="H224" s="16"/>
      <c r="I224" s="18"/>
      <c r="J224" s="18"/>
      <c r="K224" s="19" t="str">
        <f t="shared" si="10"/>
        <v/>
      </c>
      <c r="L224" s="16"/>
      <c r="M224" s="16"/>
      <c r="N224" s="16"/>
      <c r="O224" s="20" t="str">
        <f t="shared" ca="1" si="11"/>
        <v/>
      </c>
      <c r="P224" s="16"/>
    </row>
    <row r="225" spans="1:16" x14ac:dyDescent="0.3">
      <c r="A225" s="15" t="str">
        <f t="shared" si="9"/>
        <v/>
      </c>
      <c r="B225" s="16"/>
      <c r="C225" s="16"/>
      <c r="D225" s="16"/>
      <c r="E225" s="17"/>
      <c r="F225" s="16"/>
      <c r="G225" s="16"/>
      <c r="H225" s="16"/>
      <c r="I225" s="18"/>
      <c r="J225" s="18"/>
      <c r="K225" s="19" t="str">
        <f t="shared" si="10"/>
        <v/>
      </c>
      <c r="L225" s="16"/>
      <c r="M225" s="16"/>
      <c r="N225" s="16"/>
      <c r="O225" s="20" t="str">
        <f t="shared" ca="1" si="11"/>
        <v/>
      </c>
      <c r="P225" s="16"/>
    </row>
    <row r="226" spans="1:16" x14ac:dyDescent="0.3">
      <c r="A226" s="15" t="str">
        <f t="shared" si="9"/>
        <v/>
      </c>
      <c r="B226" s="16"/>
      <c r="C226" s="16"/>
      <c r="D226" s="16"/>
      <c r="E226" s="17"/>
      <c r="F226" s="16"/>
      <c r="G226" s="16"/>
      <c r="H226" s="16"/>
      <c r="I226" s="18"/>
      <c r="J226" s="18"/>
      <c r="K226" s="19" t="str">
        <f t="shared" si="10"/>
        <v/>
      </c>
      <c r="L226" s="16"/>
      <c r="M226" s="16"/>
      <c r="N226" s="16"/>
      <c r="O226" s="20" t="str">
        <f t="shared" ca="1" si="11"/>
        <v/>
      </c>
      <c r="P226" s="16"/>
    </row>
    <row r="227" spans="1:16" x14ac:dyDescent="0.3">
      <c r="A227" s="15" t="str">
        <f t="shared" si="9"/>
        <v/>
      </c>
      <c r="B227" s="16"/>
      <c r="C227" s="16"/>
      <c r="D227" s="16"/>
      <c r="E227" s="17"/>
      <c r="F227" s="16"/>
      <c r="G227" s="16"/>
      <c r="H227" s="16"/>
      <c r="I227" s="18"/>
      <c r="J227" s="18"/>
      <c r="K227" s="19" t="str">
        <f t="shared" si="10"/>
        <v/>
      </c>
      <c r="L227" s="16"/>
      <c r="M227" s="16"/>
      <c r="N227" s="16"/>
      <c r="O227" s="20" t="str">
        <f t="shared" ca="1" si="11"/>
        <v/>
      </c>
      <c r="P227" s="16"/>
    </row>
    <row r="228" spans="1:16" x14ac:dyDescent="0.3">
      <c r="A228" s="15" t="str">
        <f t="shared" si="9"/>
        <v/>
      </c>
      <c r="B228" s="16"/>
      <c r="C228" s="16"/>
      <c r="D228" s="16"/>
      <c r="E228" s="17"/>
      <c r="F228" s="16"/>
      <c r="G228" s="16"/>
      <c r="H228" s="16"/>
      <c r="I228" s="18"/>
      <c r="J228" s="18"/>
      <c r="K228" s="19" t="str">
        <f t="shared" si="10"/>
        <v/>
      </c>
      <c r="L228" s="16"/>
      <c r="M228" s="16"/>
      <c r="N228" s="16"/>
      <c r="O228" s="20" t="str">
        <f t="shared" ca="1" si="11"/>
        <v/>
      </c>
      <c r="P228" s="16"/>
    </row>
    <row r="229" spans="1:16" x14ac:dyDescent="0.3">
      <c r="A229" s="15" t="str">
        <f t="shared" si="9"/>
        <v/>
      </c>
      <c r="B229" s="16"/>
      <c r="C229" s="16"/>
      <c r="D229" s="16"/>
      <c r="E229" s="17"/>
      <c r="F229" s="16"/>
      <c r="G229" s="16"/>
      <c r="H229" s="16"/>
      <c r="I229" s="18"/>
      <c r="J229" s="18"/>
      <c r="K229" s="19" t="str">
        <f t="shared" si="10"/>
        <v/>
      </c>
      <c r="L229" s="16"/>
      <c r="M229" s="16"/>
      <c r="N229" s="16"/>
      <c r="O229" s="20" t="str">
        <f t="shared" ca="1" si="11"/>
        <v/>
      </c>
      <c r="P229" s="16"/>
    </row>
    <row r="230" spans="1:16" x14ac:dyDescent="0.3">
      <c r="A230" s="15" t="str">
        <f t="shared" si="9"/>
        <v/>
      </c>
      <c r="B230" s="16"/>
      <c r="C230" s="16"/>
      <c r="D230" s="16"/>
      <c r="E230" s="17"/>
      <c r="F230" s="16"/>
      <c r="G230" s="16"/>
      <c r="H230" s="16"/>
      <c r="I230" s="18"/>
      <c r="J230" s="18"/>
      <c r="K230" s="19" t="str">
        <f t="shared" si="10"/>
        <v/>
      </c>
      <c r="L230" s="16"/>
      <c r="M230" s="16"/>
      <c r="N230" s="16"/>
      <c r="O230" s="20" t="str">
        <f t="shared" ca="1" si="11"/>
        <v/>
      </c>
      <c r="P230" s="16"/>
    </row>
    <row r="231" spans="1:16" x14ac:dyDescent="0.3">
      <c r="A231" s="15" t="str">
        <f t="shared" si="9"/>
        <v/>
      </c>
      <c r="B231" s="16"/>
      <c r="C231" s="16"/>
      <c r="D231" s="16"/>
      <c r="E231" s="17"/>
      <c r="F231" s="16"/>
      <c r="G231" s="16"/>
      <c r="H231" s="16"/>
      <c r="I231" s="18"/>
      <c r="J231" s="18"/>
      <c r="K231" s="19" t="str">
        <f t="shared" si="10"/>
        <v/>
      </c>
      <c r="L231" s="16"/>
      <c r="M231" s="16"/>
      <c r="N231" s="16"/>
      <c r="O231" s="20" t="str">
        <f t="shared" ca="1" si="11"/>
        <v/>
      </c>
      <c r="P231" s="16"/>
    </row>
    <row r="232" spans="1:16" x14ac:dyDescent="0.3">
      <c r="A232" s="15" t="str">
        <f t="shared" si="9"/>
        <v/>
      </c>
      <c r="B232" s="16"/>
      <c r="C232" s="16"/>
      <c r="D232" s="16"/>
      <c r="E232" s="17"/>
      <c r="F232" s="16"/>
      <c r="G232" s="16"/>
      <c r="H232" s="16"/>
      <c r="I232" s="18"/>
      <c r="J232" s="18"/>
      <c r="K232" s="19" t="str">
        <f t="shared" si="10"/>
        <v/>
      </c>
      <c r="L232" s="16"/>
      <c r="M232" s="16"/>
      <c r="N232" s="16"/>
      <c r="O232" s="20" t="str">
        <f t="shared" ca="1" si="11"/>
        <v/>
      </c>
      <c r="P232" s="16"/>
    </row>
    <row r="233" spans="1:16" x14ac:dyDescent="0.3">
      <c r="A233" s="15" t="str">
        <f t="shared" si="9"/>
        <v/>
      </c>
      <c r="B233" s="16"/>
      <c r="C233" s="16"/>
      <c r="D233" s="16"/>
      <c r="E233" s="17"/>
      <c r="F233" s="16"/>
      <c r="G233" s="16"/>
      <c r="H233" s="16"/>
      <c r="I233" s="18"/>
      <c r="J233" s="18"/>
      <c r="K233" s="19" t="str">
        <f t="shared" si="10"/>
        <v/>
      </c>
      <c r="L233" s="16"/>
      <c r="M233" s="16"/>
      <c r="N233" s="16"/>
      <c r="O233" s="20" t="str">
        <f t="shared" ca="1" si="11"/>
        <v/>
      </c>
      <c r="P233" s="16"/>
    </row>
    <row r="234" spans="1:16" x14ac:dyDescent="0.3">
      <c r="A234" s="15" t="str">
        <f t="shared" si="9"/>
        <v/>
      </c>
      <c r="B234" s="16"/>
      <c r="C234" s="16"/>
      <c r="D234" s="16"/>
      <c r="E234" s="17"/>
      <c r="F234" s="16"/>
      <c r="G234" s="16"/>
      <c r="H234" s="16"/>
      <c r="I234" s="18"/>
      <c r="J234" s="18"/>
      <c r="K234" s="19" t="str">
        <f t="shared" si="10"/>
        <v/>
      </c>
      <c r="L234" s="16"/>
      <c r="M234" s="16"/>
      <c r="N234" s="16"/>
      <c r="O234" s="20" t="str">
        <f t="shared" ca="1" si="11"/>
        <v/>
      </c>
      <c r="P234" s="16"/>
    </row>
    <row r="235" spans="1:16" x14ac:dyDescent="0.3">
      <c r="A235" s="15" t="str">
        <f t="shared" si="9"/>
        <v/>
      </c>
      <c r="B235" s="16"/>
      <c r="C235" s="16"/>
      <c r="D235" s="16"/>
      <c r="E235" s="17"/>
      <c r="F235" s="16"/>
      <c r="G235" s="16"/>
      <c r="H235" s="16"/>
      <c r="I235" s="18"/>
      <c r="J235" s="18"/>
      <c r="K235" s="19" t="str">
        <f t="shared" si="10"/>
        <v/>
      </c>
      <c r="L235" s="16"/>
      <c r="M235" s="16"/>
      <c r="N235" s="16"/>
      <c r="O235" s="20" t="str">
        <f t="shared" ca="1" si="11"/>
        <v/>
      </c>
      <c r="P235" s="16"/>
    </row>
    <row r="236" spans="1:16" x14ac:dyDescent="0.3">
      <c r="A236" s="15" t="str">
        <f t="shared" si="9"/>
        <v/>
      </c>
      <c r="B236" s="16"/>
      <c r="C236" s="16"/>
      <c r="D236" s="16"/>
      <c r="E236" s="17"/>
      <c r="F236" s="16"/>
      <c r="G236" s="16"/>
      <c r="H236" s="16"/>
      <c r="I236" s="18"/>
      <c r="J236" s="18"/>
      <c r="K236" s="19" t="str">
        <f t="shared" si="10"/>
        <v/>
      </c>
      <c r="L236" s="16"/>
      <c r="M236" s="16"/>
      <c r="N236" s="16"/>
      <c r="O236" s="20" t="str">
        <f t="shared" ca="1" si="11"/>
        <v/>
      </c>
      <c r="P236" s="16"/>
    </row>
    <row r="237" spans="1:16" x14ac:dyDescent="0.3">
      <c r="A237" s="15" t="str">
        <f t="shared" si="9"/>
        <v/>
      </c>
      <c r="B237" s="16"/>
      <c r="C237" s="16"/>
      <c r="D237" s="16"/>
      <c r="E237" s="17"/>
      <c r="F237" s="16"/>
      <c r="G237" s="16"/>
      <c r="H237" s="16"/>
      <c r="I237" s="18"/>
      <c r="J237" s="18"/>
      <c r="K237" s="19" t="str">
        <f t="shared" si="10"/>
        <v/>
      </c>
      <c r="L237" s="16"/>
      <c r="M237" s="16"/>
      <c r="N237" s="16"/>
      <c r="O237" s="20" t="str">
        <f t="shared" ca="1" si="11"/>
        <v/>
      </c>
      <c r="P237" s="16"/>
    </row>
    <row r="238" spans="1:16" x14ac:dyDescent="0.3">
      <c r="A238" s="15" t="str">
        <f t="shared" si="9"/>
        <v/>
      </c>
      <c r="B238" s="16"/>
      <c r="C238" s="16"/>
      <c r="D238" s="16"/>
      <c r="E238" s="17"/>
      <c r="F238" s="16"/>
      <c r="G238" s="16"/>
      <c r="H238" s="16"/>
      <c r="I238" s="18"/>
      <c r="J238" s="18"/>
      <c r="K238" s="19" t="str">
        <f t="shared" si="10"/>
        <v/>
      </c>
      <c r="L238" s="16"/>
      <c r="M238" s="16"/>
      <c r="N238" s="16"/>
      <c r="O238" s="20" t="str">
        <f t="shared" ca="1" si="11"/>
        <v/>
      </c>
      <c r="P238" s="16"/>
    </row>
    <row r="239" spans="1:16" x14ac:dyDescent="0.3">
      <c r="A239" s="15" t="str">
        <f t="shared" si="9"/>
        <v/>
      </c>
      <c r="B239" s="16"/>
      <c r="C239" s="16"/>
      <c r="D239" s="16"/>
      <c r="E239" s="17"/>
      <c r="F239" s="16"/>
      <c r="G239" s="16"/>
      <c r="H239" s="16"/>
      <c r="I239" s="18"/>
      <c r="J239" s="18"/>
      <c r="K239" s="19" t="str">
        <f t="shared" si="10"/>
        <v/>
      </c>
      <c r="L239" s="16"/>
      <c r="M239" s="16"/>
      <c r="N239" s="16"/>
      <c r="O239" s="20" t="str">
        <f t="shared" ca="1" si="11"/>
        <v/>
      </c>
      <c r="P239" s="16"/>
    </row>
    <row r="240" spans="1:16" x14ac:dyDescent="0.3">
      <c r="A240" s="15" t="str">
        <f t="shared" si="9"/>
        <v/>
      </c>
      <c r="B240" s="16"/>
      <c r="C240" s="16"/>
      <c r="D240" s="16"/>
      <c r="E240" s="17"/>
      <c r="F240" s="16"/>
      <c r="G240" s="16"/>
      <c r="H240" s="16"/>
      <c r="I240" s="18"/>
      <c r="J240" s="18"/>
      <c r="K240" s="19" t="str">
        <f t="shared" si="10"/>
        <v/>
      </c>
      <c r="L240" s="16"/>
      <c r="M240" s="16"/>
      <c r="N240" s="16"/>
      <c r="O240" s="20" t="str">
        <f t="shared" ca="1" si="11"/>
        <v/>
      </c>
      <c r="P240" s="16"/>
    </row>
    <row r="241" spans="1:16" x14ac:dyDescent="0.3">
      <c r="A241" s="15" t="str">
        <f t="shared" si="9"/>
        <v/>
      </c>
      <c r="B241" s="16"/>
      <c r="C241" s="16"/>
      <c r="D241" s="16"/>
      <c r="E241" s="17"/>
      <c r="F241" s="16"/>
      <c r="G241" s="16"/>
      <c r="H241" s="16"/>
      <c r="I241" s="18"/>
      <c r="J241" s="18"/>
      <c r="K241" s="19" t="str">
        <f t="shared" si="10"/>
        <v/>
      </c>
      <c r="L241" s="16"/>
      <c r="M241" s="16"/>
      <c r="N241" s="16"/>
      <c r="O241" s="20" t="str">
        <f t="shared" ca="1" si="11"/>
        <v/>
      </c>
      <c r="P241" s="16"/>
    </row>
    <row r="242" spans="1:16" x14ac:dyDescent="0.3">
      <c r="A242" s="15" t="str">
        <f t="shared" si="9"/>
        <v/>
      </c>
      <c r="B242" s="16"/>
      <c r="C242" s="16"/>
      <c r="D242" s="16"/>
      <c r="E242" s="17"/>
      <c r="F242" s="16"/>
      <c r="G242" s="16"/>
      <c r="H242" s="16"/>
      <c r="I242" s="18"/>
      <c r="J242" s="18"/>
      <c r="K242" s="19" t="str">
        <f t="shared" si="10"/>
        <v/>
      </c>
      <c r="L242" s="16"/>
      <c r="M242" s="16"/>
      <c r="N242" s="16"/>
      <c r="O242" s="20" t="str">
        <f t="shared" ca="1" si="11"/>
        <v/>
      </c>
      <c r="P242" s="16"/>
    </row>
    <row r="243" spans="1:16" x14ac:dyDescent="0.3">
      <c r="A243" s="15" t="str">
        <f t="shared" si="9"/>
        <v/>
      </c>
      <c r="B243" s="16"/>
      <c r="C243" s="16"/>
      <c r="D243" s="16"/>
      <c r="E243" s="17"/>
      <c r="F243" s="16"/>
      <c r="G243" s="16"/>
      <c r="H243" s="16"/>
      <c r="I243" s="18"/>
      <c r="J243" s="18"/>
      <c r="K243" s="19" t="str">
        <f t="shared" si="10"/>
        <v/>
      </c>
      <c r="L243" s="16"/>
      <c r="M243" s="16"/>
      <c r="N243" s="16"/>
      <c r="O243" s="20" t="str">
        <f t="shared" ca="1" si="11"/>
        <v/>
      </c>
      <c r="P243" s="16"/>
    </row>
    <row r="244" spans="1:16" x14ac:dyDescent="0.3">
      <c r="A244" s="15" t="str">
        <f t="shared" si="9"/>
        <v/>
      </c>
      <c r="B244" s="16"/>
      <c r="C244" s="16"/>
      <c r="D244" s="16"/>
      <c r="E244" s="17"/>
      <c r="F244" s="16"/>
      <c r="G244" s="16"/>
      <c r="H244" s="16"/>
      <c r="I244" s="18"/>
      <c r="J244" s="18"/>
      <c r="K244" s="19" t="str">
        <f t="shared" si="10"/>
        <v/>
      </c>
      <c r="L244" s="16"/>
      <c r="M244" s="16"/>
      <c r="N244" s="16"/>
      <c r="O244" s="20" t="str">
        <f t="shared" ca="1" si="11"/>
        <v/>
      </c>
      <c r="P244" s="16"/>
    </row>
    <row r="245" spans="1:16" x14ac:dyDescent="0.3">
      <c r="A245" s="15" t="str">
        <f t="shared" si="9"/>
        <v/>
      </c>
      <c r="B245" s="16"/>
      <c r="C245" s="16"/>
      <c r="D245" s="16"/>
      <c r="E245" s="17"/>
      <c r="F245" s="16"/>
      <c r="G245" s="16"/>
      <c r="H245" s="16"/>
      <c r="I245" s="18"/>
      <c r="J245" s="18"/>
      <c r="K245" s="19" t="str">
        <f t="shared" si="10"/>
        <v/>
      </c>
      <c r="L245" s="16"/>
      <c r="M245" s="16"/>
      <c r="N245" s="16"/>
      <c r="O245" s="20" t="str">
        <f t="shared" ca="1" si="11"/>
        <v/>
      </c>
      <c r="P245" s="16"/>
    </row>
    <row r="246" spans="1:16" x14ac:dyDescent="0.3">
      <c r="A246" s="15" t="str">
        <f t="shared" si="9"/>
        <v/>
      </c>
      <c r="B246" s="16"/>
      <c r="C246" s="16"/>
      <c r="D246" s="16"/>
      <c r="E246" s="17"/>
      <c r="F246" s="16"/>
      <c r="G246" s="16"/>
      <c r="H246" s="16"/>
      <c r="I246" s="18"/>
      <c r="J246" s="18"/>
      <c r="K246" s="19" t="str">
        <f t="shared" si="10"/>
        <v/>
      </c>
      <c r="L246" s="16"/>
      <c r="M246" s="16"/>
      <c r="N246" s="16"/>
      <c r="O246" s="20" t="str">
        <f t="shared" ca="1" si="11"/>
        <v/>
      </c>
      <c r="P246" s="16"/>
    </row>
    <row r="247" spans="1:16" x14ac:dyDescent="0.3">
      <c r="A247" s="15" t="str">
        <f t="shared" si="9"/>
        <v/>
      </c>
      <c r="B247" s="16"/>
      <c r="C247" s="16"/>
      <c r="D247" s="16"/>
      <c r="E247" s="17"/>
      <c r="F247" s="16"/>
      <c r="G247" s="16"/>
      <c r="H247" s="16"/>
      <c r="I247" s="18"/>
      <c r="J247" s="18"/>
      <c r="K247" s="19" t="str">
        <f t="shared" si="10"/>
        <v/>
      </c>
      <c r="L247" s="16"/>
      <c r="M247" s="16"/>
      <c r="N247" s="16"/>
      <c r="O247" s="20" t="str">
        <f t="shared" ca="1" si="11"/>
        <v/>
      </c>
      <c r="P247" s="16"/>
    </row>
    <row r="248" spans="1:16" x14ac:dyDescent="0.3">
      <c r="A248" s="15" t="str">
        <f t="shared" si="9"/>
        <v/>
      </c>
      <c r="B248" s="16"/>
      <c r="C248" s="16"/>
      <c r="D248" s="16"/>
      <c r="E248" s="17"/>
      <c r="F248" s="16"/>
      <c r="G248" s="16"/>
      <c r="H248" s="16"/>
      <c r="I248" s="18"/>
      <c r="J248" s="18"/>
      <c r="K248" s="19" t="str">
        <f t="shared" si="10"/>
        <v/>
      </c>
      <c r="L248" s="16"/>
      <c r="M248" s="16"/>
      <c r="N248" s="16"/>
      <c r="O248" s="20" t="str">
        <f t="shared" ca="1" si="11"/>
        <v/>
      </c>
      <c r="P248" s="16"/>
    </row>
    <row r="249" spans="1:16" x14ac:dyDescent="0.3">
      <c r="A249" s="15" t="str">
        <f t="shared" si="9"/>
        <v/>
      </c>
      <c r="B249" s="16"/>
      <c r="C249" s="16"/>
      <c r="D249" s="16"/>
      <c r="E249" s="17"/>
      <c r="F249" s="16"/>
      <c r="G249" s="16"/>
      <c r="H249" s="16"/>
      <c r="I249" s="18"/>
      <c r="J249" s="18"/>
      <c r="K249" s="19" t="str">
        <f t="shared" si="10"/>
        <v/>
      </c>
      <c r="L249" s="16"/>
      <c r="M249" s="16"/>
      <c r="N249" s="16"/>
      <c r="O249" s="20" t="str">
        <f t="shared" ca="1" si="11"/>
        <v/>
      </c>
      <c r="P249" s="16"/>
    </row>
    <row r="250" spans="1:16" x14ac:dyDescent="0.3">
      <c r="A250" s="15" t="str">
        <f t="shared" si="9"/>
        <v/>
      </c>
      <c r="B250" s="16"/>
      <c r="C250" s="16"/>
      <c r="D250" s="16"/>
      <c r="E250" s="17"/>
      <c r="F250" s="16"/>
      <c r="G250" s="16"/>
      <c r="H250" s="16"/>
      <c r="I250" s="18"/>
      <c r="J250" s="18"/>
      <c r="K250" s="19" t="str">
        <f t="shared" si="10"/>
        <v/>
      </c>
      <c r="L250" s="16"/>
      <c r="M250" s="16"/>
      <c r="N250" s="16"/>
      <c r="O250" s="20" t="str">
        <f t="shared" ca="1" si="11"/>
        <v/>
      </c>
      <c r="P250" s="16"/>
    </row>
    <row r="251" spans="1:16" x14ac:dyDescent="0.3">
      <c r="A251" s="15" t="str">
        <f t="shared" si="9"/>
        <v/>
      </c>
      <c r="B251" s="16"/>
      <c r="C251" s="16"/>
      <c r="D251" s="16"/>
      <c r="E251" s="17"/>
      <c r="F251" s="16"/>
      <c r="G251" s="16"/>
      <c r="H251" s="16"/>
      <c r="I251" s="18"/>
      <c r="J251" s="18"/>
      <c r="K251" s="19" t="str">
        <f t="shared" si="10"/>
        <v/>
      </c>
      <c r="L251" s="16"/>
      <c r="M251" s="16"/>
      <c r="N251" s="16"/>
      <c r="O251" s="20" t="str">
        <f t="shared" ca="1" si="11"/>
        <v/>
      </c>
      <c r="P251" s="16"/>
    </row>
    <row r="252" spans="1:16" x14ac:dyDescent="0.3">
      <c r="A252" s="15" t="str">
        <f t="shared" si="9"/>
        <v/>
      </c>
      <c r="B252" s="16"/>
      <c r="C252" s="16"/>
      <c r="D252" s="16"/>
      <c r="E252" s="17"/>
      <c r="F252" s="16"/>
      <c r="G252" s="16"/>
      <c r="H252" s="16"/>
      <c r="I252" s="18"/>
      <c r="J252" s="18"/>
      <c r="K252" s="19" t="str">
        <f t="shared" si="10"/>
        <v/>
      </c>
      <c r="L252" s="16"/>
      <c r="M252" s="16"/>
      <c r="N252" s="16"/>
      <c r="O252" s="20" t="str">
        <f t="shared" ca="1" si="11"/>
        <v/>
      </c>
      <c r="P252" s="16"/>
    </row>
    <row r="253" spans="1:16" x14ac:dyDescent="0.3">
      <c r="A253" s="15" t="str">
        <f t="shared" si="9"/>
        <v/>
      </c>
      <c r="B253" s="16"/>
      <c r="C253" s="16"/>
      <c r="D253" s="16"/>
      <c r="E253" s="17"/>
      <c r="F253" s="16"/>
      <c r="G253" s="16"/>
      <c r="H253" s="16"/>
      <c r="I253" s="18"/>
      <c r="J253" s="18"/>
      <c r="K253" s="19" t="str">
        <f t="shared" si="10"/>
        <v/>
      </c>
      <c r="L253" s="16"/>
      <c r="M253" s="16"/>
      <c r="N253" s="16"/>
      <c r="O253" s="20" t="str">
        <f t="shared" ca="1" si="11"/>
        <v/>
      </c>
      <c r="P253" s="16"/>
    </row>
    <row r="254" spans="1:16" x14ac:dyDescent="0.3">
      <c r="A254" s="15" t="str">
        <f t="shared" si="9"/>
        <v/>
      </c>
      <c r="B254" s="16"/>
      <c r="C254" s="16"/>
      <c r="D254" s="16"/>
      <c r="E254" s="17"/>
      <c r="F254" s="16"/>
      <c r="G254" s="16"/>
      <c r="H254" s="16"/>
      <c r="I254" s="18"/>
      <c r="J254" s="18"/>
      <c r="K254" s="19" t="str">
        <f t="shared" si="10"/>
        <v/>
      </c>
      <c r="L254" s="16"/>
      <c r="M254" s="16"/>
      <c r="N254" s="16"/>
      <c r="O254" s="20" t="str">
        <f t="shared" ca="1" si="11"/>
        <v/>
      </c>
      <c r="P254" s="16"/>
    </row>
    <row r="255" spans="1:16" x14ac:dyDescent="0.3">
      <c r="A255" s="15" t="str">
        <f t="shared" si="9"/>
        <v/>
      </c>
      <c r="B255" s="16"/>
      <c r="C255" s="16"/>
      <c r="D255" s="16"/>
      <c r="E255" s="17"/>
      <c r="F255" s="16"/>
      <c r="G255" s="16"/>
      <c r="H255" s="16"/>
      <c r="I255" s="18"/>
      <c r="J255" s="18"/>
      <c r="K255" s="19" t="str">
        <f t="shared" si="10"/>
        <v/>
      </c>
      <c r="L255" s="16"/>
      <c r="M255" s="16"/>
      <c r="N255" s="16"/>
      <c r="O255" s="20" t="str">
        <f t="shared" ca="1" si="11"/>
        <v/>
      </c>
      <c r="P255" s="16"/>
    </row>
    <row r="256" spans="1:16" x14ac:dyDescent="0.3">
      <c r="A256" s="15" t="str">
        <f t="shared" si="9"/>
        <v/>
      </c>
      <c r="B256" s="16"/>
      <c r="C256" s="16"/>
      <c r="D256" s="16"/>
      <c r="E256" s="17"/>
      <c r="F256" s="16"/>
      <c r="G256" s="16"/>
      <c r="H256" s="16"/>
      <c r="I256" s="18"/>
      <c r="J256" s="18"/>
      <c r="K256" s="19" t="str">
        <f t="shared" si="10"/>
        <v/>
      </c>
      <c r="L256" s="16"/>
      <c r="M256" s="16"/>
      <c r="N256" s="16"/>
      <c r="O256" s="20" t="str">
        <f t="shared" ca="1" si="11"/>
        <v/>
      </c>
      <c r="P256" s="16"/>
    </row>
    <row r="257" spans="1:16" x14ac:dyDescent="0.3">
      <c r="A257" s="15" t="str">
        <f t="shared" si="9"/>
        <v/>
      </c>
      <c r="B257" s="16"/>
      <c r="C257" s="16"/>
      <c r="D257" s="16"/>
      <c r="E257" s="17"/>
      <c r="F257" s="16"/>
      <c r="G257" s="16"/>
      <c r="H257" s="16"/>
      <c r="I257" s="18"/>
      <c r="J257" s="18"/>
      <c r="K257" s="19" t="str">
        <f t="shared" si="10"/>
        <v/>
      </c>
      <c r="L257" s="16"/>
      <c r="M257" s="16"/>
      <c r="N257" s="16"/>
      <c r="O257" s="20" t="str">
        <f t="shared" ca="1" si="11"/>
        <v/>
      </c>
      <c r="P257" s="16"/>
    </row>
    <row r="258" spans="1:16" x14ac:dyDescent="0.3">
      <c r="A258" s="15" t="str">
        <f t="shared" ref="A258:A321" si="12">IF(B258="","","JOB-"&amp;TEXT(ROW()-1,"0000"))</f>
        <v/>
      </c>
      <c r="B258" s="16"/>
      <c r="C258" s="16"/>
      <c r="D258" s="16"/>
      <c r="E258" s="17"/>
      <c r="F258" s="16"/>
      <c r="G258" s="16"/>
      <c r="H258" s="16"/>
      <c r="I258" s="18"/>
      <c r="J258" s="18"/>
      <c r="K258" s="19" t="str">
        <f t="shared" ref="K258:K321" si="13">IF(B258="","",IF(H258="paid",0,MAX(0,I258-J258)))</f>
        <v/>
      </c>
      <c r="L258" s="16"/>
      <c r="M258" s="16"/>
      <c r="N258" s="16"/>
      <c r="O258" s="20" t="str">
        <f t="shared" ref="O258:O321" ca="1" si="14">IF(B258="","",TODAY())</f>
        <v/>
      </c>
      <c r="P258" s="16"/>
    </row>
    <row r="259" spans="1:16" x14ac:dyDescent="0.3">
      <c r="A259" s="15" t="str">
        <f t="shared" si="12"/>
        <v/>
      </c>
      <c r="B259" s="16"/>
      <c r="C259" s="16"/>
      <c r="D259" s="16"/>
      <c r="E259" s="17"/>
      <c r="F259" s="16"/>
      <c r="G259" s="16"/>
      <c r="H259" s="16"/>
      <c r="I259" s="18"/>
      <c r="J259" s="18"/>
      <c r="K259" s="19" t="str">
        <f t="shared" si="13"/>
        <v/>
      </c>
      <c r="L259" s="16"/>
      <c r="M259" s="16"/>
      <c r="N259" s="16"/>
      <c r="O259" s="20" t="str">
        <f t="shared" ca="1" si="14"/>
        <v/>
      </c>
      <c r="P259" s="16"/>
    </row>
    <row r="260" spans="1:16" x14ac:dyDescent="0.3">
      <c r="A260" s="15" t="str">
        <f t="shared" si="12"/>
        <v/>
      </c>
      <c r="B260" s="16"/>
      <c r="C260" s="16"/>
      <c r="D260" s="16"/>
      <c r="E260" s="17"/>
      <c r="F260" s="16"/>
      <c r="G260" s="16"/>
      <c r="H260" s="16"/>
      <c r="I260" s="18"/>
      <c r="J260" s="18"/>
      <c r="K260" s="19" t="str">
        <f t="shared" si="13"/>
        <v/>
      </c>
      <c r="L260" s="16"/>
      <c r="M260" s="16"/>
      <c r="N260" s="16"/>
      <c r="O260" s="20" t="str">
        <f t="shared" ca="1" si="14"/>
        <v/>
      </c>
      <c r="P260" s="16"/>
    </row>
    <row r="261" spans="1:16" x14ac:dyDescent="0.3">
      <c r="A261" s="15" t="str">
        <f t="shared" si="12"/>
        <v/>
      </c>
      <c r="B261" s="16"/>
      <c r="C261" s="16"/>
      <c r="D261" s="16"/>
      <c r="E261" s="17"/>
      <c r="F261" s="16"/>
      <c r="G261" s="16"/>
      <c r="H261" s="16"/>
      <c r="I261" s="18"/>
      <c r="J261" s="18"/>
      <c r="K261" s="19" t="str">
        <f t="shared" si="13"/>
        <v/>
      </c>
      <c r="L261" s="16"/>
      <c r="M261" s="16"/>
      <c r="N261" s="16"/>
      <c r="O261" s="20" t="str">
        <f t="shared" ca="1" si="14"/>
        <v/>
      </c>
      <c r="P261" s="16"/>
    </row>
    <row r="262" spans="1:16" x14ac:dyDescent="0.3">
      <c r="A262" s="15" t="str">
        <f t="shared" si="12"/>
        <v/>
      </c>
      <c r="B262" s="16"/>
      <c r="C262" s="16"/>
      <c r="D262" s="16"/>
      <c r="E262" s="17"/>
      <c r="F262" s="16"/>
      <c r="G262" s="16"/>
      <c r="H262" s="16"/>
      <c r="I262" s="18"/>
      <c r="J262" s="18"/>
      <c r="K262" s="19" t="str">
        <f t="shared" si="13"/>
        <v/>
      </c>
      <c r="L262" s="16"/>
      <c r="M262" s="16"/>
      <c r="N262" s="16"/>
      <c r="O262" s="20" t="str">
        <f t="shared" ca="1" si="14"/>
        <v/>
      </c>
      <c r="P262" s="16"/>
    </row>
    <row r="263" spans="1:16" x14ac:dyDescent="0.3">
      <c r="A263" s="15" t="str">
        <f t="shared" si="12"/>
        <v/>
      </c>
      <c r="B263" s="16"/>
      <c r="C263" s="16"/>
      <c r="D263" s="16"/>
      <c r="E263" s="17"/>
      <c r="F263" s="16"/>
      <c r="G263" s="16"/>
      <c r="H263" s="16"/>
      <c r="I263" s="18"/>
      <c r="J263" s="18"/>
      <c r="K263" s="19" t="str">
        <f t="shared" si="13"/>
        <v/>
      </c>
      <c r="L263" s="16"/>
      <c r="M263" s="16"/>
      <c r="N263" s="16"/>
      <c r="O263" s="20" t="str">
        <f t="shared" ca="1" si="14"/>
        <v/>
      </c>
      <c r="P263" s="16"/>
    </row>
    <row r="264" spans="1:16" x14ac:dyDescent="0.3">
      <c r="A264" s="15" t="str">
        <f t="shared" si="12"/>
        <v/>
      </c>
      <c r="B264" s="16"/>
      <c r="C264" s="16"/>
      <c r="D264" s="16"/>
      <c r="E264" s="17"/>
      <c r="F264" s="16"/>
      <c r="G264" s="16"/>
      <c r="H264" s="16"/>
      <c r="I264" s="18"/>
      <c r="J264" s="18"/>
      <c r="K264" s="19" t="str">
        <f t="shared" si="13"/>
        <v/>
      </c>
      <c r="L264" s="16"/>
      <c r="M264" s="16"/>
      <c r="N264" s="16"/>
      <c r="O264" s="20" t="str">
        <f t="shared" ca="1" si="14"/>
        <v/>
      </c>
      <c r="P264" s="16"/>
    </row>
    <row r="265" spans="1:16" x14ac:dyDescent="0.3">
      <c r="A265" s="15" t="str">
        <f t="shared" si="12"/>
        <v/>
      </c>
      <c r="B265" s="16"/>
      <c r="C265" s="16"/>
      <c r="D265" s="16"/>
      <c r="E265" s="17"/>
      <c r="F265" s="16"/>
      <c r="G265" s="16"/>
      <c r="H265" s="16"/>
      <c r="I265" s="18"/>
      <c r="J265" s="18"/>
      <c r="K265" s="19" t="str">
        <f t="shared" si="13"/>
        <v/>
      </c>
      <c r="L265" s="16"/>
      <c r="M265" s="16"/>
      <c r="N265" s="16"/>
      <c r="O265" s="20" t="str">
        <f t="shared" ca="1" si="14"/>
        <v/>
      </c>
      <c r="P265" s="16"/>
    </row>
    <row r="266" spans="1:16" x14ac:dyDescent="0.3">
      <c r="A266" s="15" t="str">
        <f t="shared" si="12"/>
        <v/>
      </c>
      <c r="B266" s="16"/>
      <c r="C266" s="16"/>
      <c r="D266" s="16"/>
      <c r="E266" s="17"/>
      <c r="F266" s="16"/>
      <c r="G266" s="16"/>
      <c r="H266" s="16"/>
      <c r="I266" s="18"/>
      <c r="J266" s="18"/>
      <c r="K266" s="19" t="str">
        <f t="shared" si="13"/>
        <v/>
      </c>
      <c r="L266" s="16"/>
      <c r="M266" s="16"/>
      <c r="N266" s="16"/>
      <c r="O266" s="20" t="str">
        <f t="shared" ca="1" si="14"/>
        <v/>
      </c>
      <c r="P266" s="16"/>
    </row>
    <row r="267" spans="1:16" x14ac:dyDescent="0.3">
      <c r="A267" s="15" t="str">
        <f t="shared" si="12"/>
        <v/>
      </c>
      <c r="B267" s="16"/>
      <c r="C267" s="16"/>
      <c r="D267" s="16"/>
      <c r="E267" s="17"/>
      <c r="F267" s="16"/>
      <c r="G267" s="16"/>
      <c r="H267" s="16"/>
      <c r="I267" s="18"/>
      <c r="J267" s="18"/>
      <c r="K267" s="19" t="str">
        <f t="shared" si="13"/>
        <v/>
      </c>
      <c r="L267" s="16"/>
      <c r="M267" s="16"/>
      <c r="N267" s="16"/>
      <c r="O267" s="20" t="str">
        <f t="shared" ca="1" si="14"/>
        <v/>
      </c>
      <c r="P267" s="16"/>
    </row>
    <row r="268" spans="1:16" x14ac:dyDescent="0.3">
      <c r="A268" s="15" t="str">
        <f t="shared" si="12"/>
        <v/>
      </c>
      <c r="B268" s="16"/>
      <c r="C268" s="16"/>
      <c r="D268" s="16"/>
      <c r="E268" s="17"/>
      <c r="F268" s="16"/>
      <c r="G268" s="16"/>
      <c r="H268" s="16"/>
      <c r="I268" s="18"/>
      <c r="J268" s="18"/>
      <c r="K268" s="19" t="str">
        <f t="shared" si="13"/>
        <v/>
      </c>
      <c r="L268" s="16"/>
      <c r="M268" s="16"/>
      <c r="N268" s="16"/>
      <c r="O268" s="20" t="str">
        <f t="shared" ca="1" si="14"/>
        <v/>
      </c>
      <c r="P268" s="16"/>
    </row>
    <row r="269" spans="1:16" x14ac:dyDescent="0.3">
      <c r="A269" s="15" t="str">
        <f t="shared" si="12"/>
        <v/>
      </c>
      <c r="B269" s="16"/>
      <c r="C269" s="16"/>
      <c r="D269" s="16"/>
      <c r="E269" s="17"/>
      <c r="F269" s="16"/>
      <c r="G269" s="16"/>
      <c r="H269" s="16"/>
      <c r="I269" s="18"/>
      <c r="J269" s="18"/>
      <c r="K269" s="19" t="str">
        <f t="shared" si="13"/>
        <v/>
      </c>
      <c r="L269" s="16"/>
      <c r="M269" s="16"/>
      <c r="N269" s="16"/>
      <c r="O269" s="20" t="str">
        <f t="shared" ca="1" si="14"/>
        <v/>
      </c>
      <c r="P269" s="16"/>
    </row>
    <row r="270" spans="1:16" x14ac:dyDescent="0.3">
      <c r="A270" s="15" t="str">
        <f t="shared" si="12"/>
        <v/>
      </c>
      <c r="B270" s="16"/>
      <c r="C270" s="16"/>
      <c r="D270" s="16"/>
      <c r="E270" s="17"/>
      <c r="F270" s="16"/>
      <c r="G270" s="16"/>
      <c r="H270" s="16"/>
      <c r="I270" s="18"/>
      <c r="J270" s="18"/>
      <c r="K270" s="19" t="str">
        <f t="shared" si="13"/>
        <v/>
      </c>
      <c r="L270" s="16"/>
      <c r="M270" s="16"/>
      <c r="N270" s="16"/>
      <c r="O270" s="20" t="str">
        <f t="shared" ca="1" si="14"/>
        <v/>
      </c>
      <c r="P270" s="16"/>
    </row>
    <row r="271" spans="1:16" x14ac:dyDescent="0.3">
      <c r="A271" s="15" t="str">
        <f t="shared" si="12"/>
        <v/>
      </c>
      <c r="B271" s="16"/>
      <c r="C271" s="16"/>
      <c r="D271" s="16"/>
      <c r="E271" s="17"/>
      <c r="F271" s="16"/>
      <c r="G271" s="16"/>
      <c r="H271" s="16"/>
      <c r="I271" s="18"/>
      <c r="J271" s="18"/>
      <c r="K271" s="19" t="str">
        <f t="shared" si="13"/>
        <v/>
      </c>
      <c r="L271" s="16"/>
      <c r="M271" s="16"/>
      <c r="N271" s="16"/>
      <c r="O271" s="20" t="str">
        <f t="shared" ca="1" si="14"/>
        <v/>
      </c>
      <c r="P271" s="16"/>
    </row>
    <row r="272" spans="1:16" x14ac:dyDescent="0.3">
      <c r="A272" s="15" t="str">
        <f t="shared" si="12"/>
        <v/>
      </c>
      <c r="B272" s="16"/>
      <c r="C272" s="16"/>
      <c r="D272" s="16"/>
      <c r="E272" s="17"/>
      <c r="F272" s="16"/>
      <c r="G272" s="16"/>
      <c r="H272" s="16"/>
      <c r="I272" s="18"/>
      <c r="J272" s="18"/>
      <c r="K272" s="19" t="str">
        <f t="shared" si="13"/>
        <v/>
      </c>
      <c r="L272" s="16"/>
      <c r="M272" s="16"/>
      <c r="N272" s="16"/>
      <c r="O272" s="20" t="str">
        <f t="shared" ca="1" si="14"/>
        <v/>
      </c>
      <c r="P272" s="16"/>
    </row>
    <row r="273" spans="1:16" x14ac:dyDescent="0.3">
      <c r="A273" s="15" t="str">
        <f t="shared" si="12"/>
        <v/>
      </c>
      <c r="B273" s="16"/>
      <c r="C273" s="16"/>
      <c r="D273" s="16"/>
      <c r="E273" s="17"/>
      <c r="F273" s="16"/>
      <c r="G273" s="16"/>
      <c r="H273" s="16"/>
      <c r="I273" s="18"/>
      <c r="J273" s="18"/>
      <c r="K273" s="19" t="str">
        <f t="shared" si="13"/>
        <v/>
      </c>
      <c r="L273" s="16"/>
      <c r="M273" s="16"/>
      <c r="N273" s="16"/>
      <c r="O273" s="20" t="str">
        <f t="shared" ca="1" si="14"/>
        <v/>
      </c>
      <c r="P273" s="16"/>
    </row>
    <row r="274" spans="1:16" x14ac:dyDescent="0.3">
      <c r="A274" s="15" t="str">
        <f t="shared" si="12"/>
        <v/>
      </c>
      <c r="B274" s="16"/>
      <c r="C274" s="16"/>
      <c r="D274" s="16"/>
      <c r="E274" s="17"/>
      <c r="F274" s="16"/>
      <c r="G274" s="16"/>
      <c r="H274" s="16"/>
      <c r="I274" s="18"/>
      <c r="J274" s="18"/>
      <c r="K274" s="19" t="str">
        <f t="shared" si="13"/>
        <v/>
      </c>
      <c r="L274" s="16"/>
      <c r="M274" s="16"/>
      <c r="N274" s="16"/>
      <c r="O274" s="20" t="str">
        <f t="shared" ca="1" si="14"/>
        <v/>
      </c>
      <c r="P274" s="16"/>
    </row>
    <row r="275" spans="1:16" x14ac:dyDescent="0.3">
      <c r="A275" s="15" t="str">
        <f t="shared" si="12"/>
        <v/>
      </c>
      <c r="B275" s="16"/>
      <c r="C275" s="16"/>
      <c r="D275" s="16"/>
      <c r="E275" s="17"/>
      <c r="F275" s="16"/>
      <c r="G275" s="16"/>
      <c r="H275" s="16"/>
      <c r="I275" s="18"/>
      <c r="J275" s="18"/>
      <c r="K275" s="19" t="str">
        <f t="shared" si="13"/>
        <v/>
      </c>
      <c r="L275" s="16"/>
      <c r="M275" s="16"/>
      <c r="N275" s="16"/>
      <c r="O275" s="20" t="str">
        <f t="shared" ca="1" si="14"/>
        <v/>
      </c>
      <c r="P275" s="16"/>
    </row>
    <row r="276" spans="1:16" x14ac:dyDescent="0.3">
      <c r="A276" s="15" t="str">
        <f t="shared" si="12"/>
        <v/>
      </c>
      <c r="B276" s="16"/>
      <c r="C276" s="16"/>
      <c r="D276" s="16"/>
      <c r="E276" s="17"/>
      <c r="F276" s="16"/>
      <c r="G276" s="16"/>
      <c r="H276" s="16"/>
      <c r="I276" s="18"/>
      <c r="J276" s="18"/>
      <c r="K276" s="19" t="str">
        <f t="shared" si="13"/>
        <v/>
      </c>
      <c r="L276" s="16"/>
      <c r="M276" s="16"/>
      <c r="N276" s="16"/>
      <c r="O276" s="20" t="str">
        <f t="shared" ca="1" si="14"/>
        <v/>
      </c>
      <c r="P276" s="16"/>
    </row>
    <row r="277" spans="1:16" x14ac:dyDescent="0.3">
      <c r="A277" s="15" t="str">
        <f t="shared" si="12"/>
        <v/>
      </c>
      <c r="B277" s="16"/>
      <c r="C277" s="16"/>
      <c r="D277" s="16"/>
      <c r="E277" s="17"/>
      <c r="F277" s="16"/>
      <c r="G277" s="16"/>
      <c r="H277" s="16"/>
      <c r="I277" s="18"/>
      <c r="J277" s="18"/>
      <c r="K277" s="19" t="str">
        <f t="shared" si="13"/>
        <v/>
      </c>
      <c r="L277" s="16"/>
      <c r="M277" s="16"/>
      <c r="N277" s="16"/>
      <c r="O277" s="20" t="str">
        <f t="shared" ca="1" si="14"/>
        <v/>
      </c>
      <c r="P277" s="16"/>
    </row>
    <row r="278" spans="1:16" x14ac:dyDescent="0.3">
      <c r="A278" s="15" t="str">
        <f t="shared" si="12"/>
        <v/>
      </c>
      <c r="B278" s="16"/>
      <c r="C278" s="16"/>
      <c r="D278" s="16"/>
      <c r="E278" s="17"/>
      <c r="F278" s="16"/>
      <c r="G278" s="16"/>
      <c r="H278" s="16"/>
      <c r="I278" s="18"/>
      <c r="J278" s="18"/>
      <c r="K278" s="19" t="str">
        <f t="shared" si="13"/>
        <v/>
      </c>
      <c r="L278" s="16"/>
      <c r="M278" s="16"/>
      <c r="N278" s="16"/>
      <c r="O278" s="20" t="str">
        <f t="shared" ca="1" si="14"/>
        <v/>
      </c>
      <c r="P278" s="16"/>
    </row>
    <row r="279" spans="1:16" x14ac:dyDescent="0.3">
      <c r="A279" s="15" t="str">
        <f t="shared" si="12"/>
        <v/>
      </c>
      <c r="B279" s="16"/>
      <c r="C279" s="16"/>
      <c r="D279" s="16"/>
      <c r="E279" s="17"/>
      <c r="F279" s="16"/>
      <c r="G279" s="16"/>
      <c r="H279" s="16"/>
      <c r="I279" s="18"/>
      <c r="J279" s="18"/>
      <c r="K279" s="19" t="str">
        <f t="shared" si="13"/>
        <v/>
      </c>
      <c r="L279" s="16"/>
      <c r="M279" s="16"/>
      <c r="N279" s="16"/>
      <c r="O279" s="20" t="str">
        <f t="shared" ca="1" si="14"/>
        <v/>
      </c>
      <c r="P279" s="16"/>
    </row>
    <row r="280" spans="1:16" x14ac:dyDescent="0.3">
      <c r="A280" s="15" t="str">
        <f t="shared" si="12"/>
        <v/>
      </c>
      <c r="B280" s="16"/>
      <c r="C280" s="16"/>
      <c r="D280" s="16"/>
      <c r="E280" s="17"/>
      <c r="F280" s="16"/>
      <c r="G280" s="16"/>
      <c r="H280" s="16"/>
      <c r="I280" s="18"/>
      <c r="J280" s="18"/>
      <c r="K280" s="19" t="str">
        <f t="shared" si="13"/>
        <v/>
      </c>
      <c r="L280" s="16"/>
      <c r="M280" s="16"/>
      <c r="N280" s="16"/>
      <c r="O280" s="20" t="str">
        <f t="shared" ca="1" si="14"/>
        <v/>
      </c>
      <c r="P280" s="16"/>
    </row>
    <row r="281" spans="1:16" x14ac:dyDescent="0.3">
      <c r="A281" s="15" t="str">
        <f t="shared" si="12"/>
        <v/>
      </c>
      <c r="B281" s="16"/>
      <c r="C281" s="16"/>
      <c r="D281" s="16"/>
      <c r="E281" s="17"/>
      <c r="F281" s="16"/>
      <c r="G281" s="16"/>
      <c r="H281" s="16"/>
      <c r="I281" s="18"/>
      <c r="J281" s="18"/>
      <c r="K281" s="19" t="str">
        <f t="shared" si="13"/>
        <v/>
      </c>
      <c r="L281" s="16"/>
      <c r="M281" s="16"/>
      <c r="N281" s="16"/>
      <c r="O281" s="20" t="str">
        <f t="shared" ca="1" si="14"/>
        <v/>
      </c>
      <c r="P281" s="16"/>
    </row>
    <row r="282" spans="1:16" x14ac:dyDescent="0.3">
      <c r="A282" s="15" t="str">
        <f t="shared" si="12"/>
        <v/>
      </c>
      <c r="B282" s="16"/>
      <c r="C282" s="16"/>
      <c r="D282" s="16"/>
      <c r="E282" s="17"/>
      <c r="F282" s="16"/>
      <c r="G282" s="16"/>
      <c r="H282" s="16"/>
      <c r="I282" s="18"/>
      <c r="J282" s="18"/>
      <c r="K282" s="19" t="str">
        <f t="shared" si="13"/>
        <v/>
      </c>
      <c r="L282" s="16"/>
      <c r="M282" s="16"/>
      <c r="N282" s="16"/>
      <c r="O282" s="20" t="str">
        <f t="shared" ca="1" si="14"/>
        <v/>
      </c>
      <c r="P282" s="16"/>
    </row>
    <row r="283" spans="1:16" x14ac:dyDescent="0.3">
      <c r="A283" s="15" t="str">
        <f t="shared" si="12"/>
        <v/>
      </c>
      <c r="B283" s="16"/>
      <c r="C283" s="16"/>
      <c r="D283" s="16"/>
      <c r="E283" s="17"/>
      <c r="F283" s="16"/>
      <c r="G283" s="16"/>
      <c r="H283" s="16"/>
      <c r="I283" s="18"/>
      <c r="J283" s="18"/>
      <c r="K283" s="19" t="str">
        <f t="shared" si="13"/>
        <v/>
      </c>
      <c r="L283" s="16"/>
      <c r="M283" s="16"/>
      <c r="N283" s="16"/>
      <c r="O283" s="20" t="str">
        <f t="shared" ca="1" si="14"/>
        <v/>
      </c>
      <c r="P283" s="16"/>
    </row>
    <row r="284" spans="1:16" x14ac:dyDescent="0.3">
      <c r="A284" s="15" t="str">
        <f t="shared" si="12"/>
        <v/>
      </c>
      <c r="B284" s="16"/>
      <c r="C284" s="16"/>
      <c r="D284" s="16"/>
      <c r="E284" s="17"/>
      <c r="F284" s="16"/>
      <c r="G284" s="16"/>
      <c r="H284" s="16"/>
      <c r="I284" s="18"/>
      <c r="J284" s="18"/>
      <c r="K284" s="19" t="str">
        <f t="shared" si="13"/>
        <v/>
      </c>
      <c r="L284" s="16"/>
      <c r="M284" s="16"/>
      <c r="N284" s="16"/>
      <c r="O284" s="20" t="str">
        <f t="shared" ca="1" si="14"/>
        <v/>
      </c>
      <c r="P284" s="16"/>
    </row>
    <row r="285" spans="1:16" x14ac:dyDescent="0.3">
      <c r="A285" s="15" t="str">
        <f t="shared" si="12"/>
        <v/>
      </c>
      <c r="B285" s="16"/>
      <c r="C285" s="16"/>
      <c r="D285" s="16"/>
      <c r="E285" s="17"/>
      <c r="F285" s="16"/>
      <c r="G285" s="16"/>
      <c r="H285" s="16"/>
      <c r="I285" s="18"/>
      <c r="J285" s="18"/>
      <c r="K285" s="19" t="str">
        <f t="shared" si="13"/>
        <v/>
      </c>
      <c r="L285" s="16"/>
      <c r="M285" s="16"/>
      <c r="N285" s="16"/>
      <c r="O285" s="20" t="str">
        <f t="shared" ca="1" si="14"/>
        <v/>
      </c>
      <c r="P285" s="16"/>
    </row>
    <row r="286" spans="1:16" x14ac:dyDescent="0.3">
      <c r="A286" s="15" t="str">
        <f t="shared" si="12"/>
        <v/>
      </c>
      <c r="B286" s="16"/>
      <c r="C286" s="16"/>
      <c r="D286" s="16"/>
      <c r="E286" s="17"/>
      <c r="F286" s="16"/>
      <c r="G286" s="16"/>
      <c r="H286" s="16"/>
      <c r="I286" s="18"/>
      <c r="J286" s="18"/>
      <c r="K286" s="19" t="str">
        <f t="shared" si="13"/>
        <v/>
      </c>
      <c r="L286" s="16"/>
      <c r="M286" s="16"/>
      <c r="N286" s="16"/>
      <c r="O286" s="20" t="str">
        <f t="shared" ca="1" si="14"/>
        <v/>
      </c>
      <c r="P286" s="16"/>
    </row>
    <row r="287" spans="1:16" x14ac:dyDescent="0.3">
      <c r="A287" s="15" t="str">
        <f t="shared" si="12"/>
        <v/>
      </c>
      <c r="B287" s="16"/>
      <c r="C287" s="16"/>
      <c r="D287" s="16"/>
      <c r="E287" s="17"/>
      <c r="F287" s="16"/>
      <c r="G287" s="16"/>
      <c r="H287" s="16"/>
      <c r="I287" s="18"/>
      <c r="J287" s="18"/>
      <c r="K287" s="19" t="str">
        <f t="shared" si="13"/>
        <v/>
      </c>
      <c r="L287" s="16"/>
      <c r="M287" s="16"/>
      <c r="N287" s="16"/>
      <c r="O287" s="20" t="str">
        <f t="shared" ca="1" si="14"/>
        <v/>
      </c>
      <c r="P287" s="16"/>
    </row>
    <row r="288" spans="1:16" x14ac:dyDescent="0.3">
      <c r="A288" s="15" t="str">
        <f t="shared" si="12"/>
        <v/>
      </c>
      <c r="B288" s="16"/>
      <c r="C288" s="16"/>
      <c r="D288" s="16"/>
      <c r="E288" s="17"/>
      <c r="F288" s="16"/>
      <c r="G288" s="16"/>
      <c r="H288" s="16"/>
      <c r="I288" s="18"/>
      <c r="J288" s="18"/>
      <c r="K288" s="19" t="str">
        <f t="shared" si="13"/>
        <v/>
      </c>
      <c r="L288" s="16"/>
      <c r="M288" s="16"/>
      <c r="N288" s="16"/>
      <c r="O288" s="20" t="str">
        <f t="shared" ca="1" si="14"/>
        <v/>
      </c>
      <c r="P288" s="16"/>
    </row>
    <row r="289" spans="1:16" x14ac:dyDescent="0.3">
      <c r="A289" s="15" t="str">
        <f t="shared" si="12"/>
        <v/>
      </c>
      <c r="B289" s="16"/>
      <c r="C289" s="16"/>
      <c r="D289" s="16"/>
      <c r="E289" s="17"/>
      <c r="F289" s="16"/>
      <c r="G289" s="16"/>
      <c r="H289" s="16"/>
      <c r="I289" s="18"/>
      <c r="J289" s="18"/>
      <c r="K289" s="19" t="str">
        <f t="shared" si="13"/>
        <v/>
      </c>
      <c r="L289" s="16"/>
      <c r="M289" s="16"/>
      <c r="N289" s="16"/>
      <c r="O289" s="20" t="str">
        <f t="shared" ca="1" si="14"/>
        <v/>
      </c>
      <c r="P289" s="16"/>
    </row>
    <row r="290" spans="1:16" x14ac:dyDescent="0.3">
      <c r="A290" s="15" t="str">
        <f t="shared" si="12"/>
        <v/>
      </c>
      <c r="B290" s="16"/>
      <c r="C290" s="16"/>
      <c r="D290" s="16"/>
      <c r="E290" s="17"/>
      <c r="F290" s="16"/>
      <c r="G290" s="16"/>
      <c r="H290" s="16"/>
      <c r="I290" s="18"/>
      <c r="J290" s="18"/>
      <c r="K290" s="19" t="str">
        <f t="shared" si="13"/>
        <v/>
      </c>
      <c r="L290" s="16"/>
      <c r="M290" s="16"/>
      <c r="N290" s="16"/>
      <c r="O290" s="20" t="str">
        <f t="shared" ca="1" si="14"/>
        <v/>
      </c>
      <c r="P290" s="16"/>
    </row>
    <row r="291" spans="1:16" x14ac:dyDescent="0.3">
      <c r="A291" s="15" t="str">
        <f t="shared" si="12"/>
        <v/>
      </c>
      <c r="B291" s="16"/>
      <c r="C291" s="16"/>
      <c r="D291" s="16"/>
      <c r="E291" s="17"/>
      <c r="F291" s="16"/>
      <c r="G291" s="16"/>
      <c r="H291" s="16"/>
      <c r="I291" s="18"/>
      <c r="J291" s="18"/>
      <c r="K291" s="19" t="str">
        <f t="shared" si="13"/>
        <v/>
      </c>
      <c r="L291" s="16"/>
      <c r="M291" s="16"/>
      <c r="N291" s="16"/>
      <c r="O291" s="20" t="str">
        <f t="shared" ca="1" si="14"/>
        <v/>
      </c>
      <c r="P291" s="16"/>
    </row>
    <row r="292" spans="1:16" x14ac:dyDescent="0.3">
      <c r="A292" s="15" t="str">
        <f t="shared" si="12"/>
        <v/>
      </c>
      <c r="B292" s="16"/>
      <c r="C292" s="16"/>
      <c r="D292" s="16"/>
      <c r="E292" s="17"/>
      <c r="F292" s="16"/>
      <c r="G292" s="16"/>
      <c r="H292" s="16"/>
      <c r="I292" s="18"/>
      <c r="J292" s="18"/>
      <c r="K292" s="19" t="str">
        <f t="shared" si="13"/>
        <v/>
      </c>
      <c r="L292" s="16"/>
      <c r="M292" s="16"/>
      <c r="N292" s="16"/>
      <c r="O292" s="20" t="str">
        <f t="shared" ca="1" si="14"/>
        <v/>
      </c>
      <c r="P292" s="16"/>
    </row>
    <row r="293" spans="1:16" x14ac:dyDescent="0.3">
      <c r="A293" s="15" t="str">
        <f t="shared" si="12"/>
        <v/>
      </c>
      <c r="B293" s="16"/>
      <c r="C293" s="16"/>
      <c r="D293" s="16"/>
      <c r="E293" s="17"/>
      <c r="F293" s="16"/>
      <c r="G293" s="16"/>
      <c r="H293" s="16"/>
      <c r="I293" s="18"/>
      <c r="J293" s="18"/>
      <c r="K293" s="19" t="str">
        <f t="shared" si="13"/>
        <v/>
      </c>
      <c r="L293" s="16"/>
      <c r="M293" s="16"/>
      <c r="N293" s="16"/>
      <c r="O293" s="20" t="str">
        <f t="shared" ca="1" si="14"/>
        <v/>
      </c>
      <c r="P293" s="16"/>
    </row>
    <row r="294" spans="1:16" x14ac:dyDescent="0.3">
      <c r="A294" s="15" t="str">
        <f t="shared" si="12"/>
        <v/>
      </c>
      <c r="B294" s="16"/>
      <c r="C294" s="16"/>
      <c r="D294" s="16"/>
      <c r="E294" s="17"/>
      <c r="F294" s="16"/>
      <c r="G294" s="16"/>
      <c r="H294" s="16"/>
      <c r="I294" s="18"/>
      <c r="J294" s="18"/>
      <c r="K294" s="19" t="str">
        <f t="shared" si="13"/>
        <v/>
      </c>
      <c r="L294" s="16"/>
      <c r="M294" s="16"/>
      <c r="N294" s="16"/>
      <c r="O294" s="20" t="str">
        <f t="shared" ca="1" si="14"/>
        <v/>
      </c>
      <c r="P294" s="16"/>
    </row>
    <row r="295" spans="1:16" x14ac:dyDescent="0.3">
      <c r="A295" s="15" t="str">
        <f t="shared" si="12"/>
        <v/>
      </c>
      <c r="B295" s="16"/>
      <c r="C295" s="16"/>
      <c r="D295" s="16"/>
      <c r="E295" s="17"/>
      <c r="F295" s="16"/>
      <c r="G295" s="16"/>
      <c r="H295" s="16"/>
      <c r="I295" s="18"/>
      <c r="J295" s="18"/>
      <c r="K295" s="19" t="str">
        <f t="shared" si="13"/>
        <v/>
      </c>
      <c r="L295" s="16"/>
      <c r="M295" s="16"/>
      <c r="N295" s="16"/>
      <c r="O295" s="20" t="str">
        <f t="shared" ca="1" si="14"/>
        <v/>
      </c>
      <c r="P295" s="16"/>
    </row>
    <row r="296" spans="1:16" x14ac:dyDescent="0.3">
      <c r="A296" s="15" t="str">
        <f t="shared" si="12"/>
        <v/>
      </c>
      <c r="B296" s="16"/>
      <c r="C296" s="16"/>
      <c r="D296" s="16"/>
      <c r="E296" s="17"/>
      <c r="F296" s="16"/>
      <c r="G296" s="16"/>
      <c r="H296" s="16"/>
      <c r="I296" s="18"/>
      <c r="J296" s="18"/>
      <c r="K296" s="19" t="str">
        <f t="shared" si="13"/>
        <v/>
      </c>
      <c r="L296" s="16"/>
      <c r="M296" s="16"/>
      <c r="N296" s="16"/>
      <c r="O296" s="20" t="str">
        <f t="shared" ca="1" si="14"/>
        <v/>
      </c>
      <c r="P296" s="16"/>
    </row>
    <row r="297" spans="1:16" x14ac:dyDescent="0.3">
      <c r="A297" s="15" t="str">
        <f t="shared" si="12"/>
        <v/>
      </c>
      <c r="B297" s="16"/>
      <c r="C297" s="16"/>
      <c r="D297" s="16"/>
      <c r="E297" s="17"/>
      <c r="F297" s="16"/>
      <c r="G297" s="16"/>
      <c r="H297" s="16"/>
      <c r="I297" s="18"/>
      <c r="J297" s="18"/>
      <c r="K297" s="19" t="str">
        <f t="shared" si="13"/>
        <v/>
      </c>
      <c r="L297" s="16"/>
      <c r="M297" s="16"/>
      <c r="N297" s="16"/>
      <c r="O297" s="20" t="str">
        <f t="shared" ca="1" si="14"/>
        <v/>
      </c>
      <c r="P297" s="16"/>
    </row>
    <row r="298" spans="1:16" x14ac:dyDescent="0.3">
      <c r="A298" s="15" t="str">
        <f t="shared" si="12"/>
        <v/>
      </c>
      <c r="B298" s="16"/>
      <c r="C298" s="16"/>
      <c r="D298" s="16"/>
      <c r="E298" s="17"/>
      <c r="F298" s="16"/>
      <c r="G298" s="16"/>
      <c r="H298" s="16"/>
      <c r="I298" s="18"/>
      <c r="J298" s="18"/>
      <c r="K298" s="19" t="str">
        <f t="shared" si="13"/>
        <v/>
      </c>
      <c r="L298" s="16"/>
      <c r="M298" s="16"/>
      <c r="N298" s="16"/>
      <c r="O298" s="20" t="str">
        <f t="shared" ca="1" si="14"/>
        <v/>
      </c>
      <c r="P298" s="16"/>
    </row>
    <row r="299" spans="1:16" x14ac:dyDescent="0.3">
      <c r="A299" s="15" t="str">
        <f t="shared" si="12"/>
        <v/>
      </c>
      <c r="B299" s="16"/>
      <c r="C299" s="16"/>
      <c r="D299" s="16"/>
      <c r="E299" s="17"/>
      <c r="F299" s="16"/>
      <c r="G299" s="16"/>
      <c r="H299" s="16"/>
      <c r="I299" s="18"/>
      <c r="J299" s="18"/>
      <c r="K299" s="19" t="str">
        <f t="shared" si="13"/>
        <v/>
      </c>
      <c r="L299" s="16"/>
      <c r="M299" s="16"/>
      <c r="N299" s="16"/>
      <c r="O299" s="20" t="str">
        <f t="shared" ca="1" si="14"/>
        <v/>
      </c>
      <c r="P299" s="16"/>
    </row>
    <row r="300" spans="1:16" x14ac:dyDescent="0.3">
      <c r="A300" s="15" t="str">
        <f t="shared" si="12"/>
        <v/>
      </c>
      <c r="B300" s="16"/>
      <c r="C300" s="16"/>
      <c r="D300" s="16"/>
      <c r="E300" s="17"/>
      <c r="F300" s="16"/>
      <c r="G300" s="16"/>
      <c r="H300" s="16"/>
      <c r="I300" s="18"/>
      <c r="J300" s="18"/>
      <c r="K300" s="19" t="str">
        <f t="shared" si="13"/>
        <v/>
      </c>
      <c r="L300" s="16"/>
      <c r="M300" s="16"/>
      <c r="N300" s="16"/>
      <c r="O300" s="20" t="str">
        <f t="shared" ca="1" si="14"/>
        <v/>
      </c>
      <c r="P300" s="16"/>
    </row>
    <row r="301" spans="1:16" x14ac:dyDescent="0.3">
      <c r="A301" s="15" t="str">
        <f t="shared" si="12"/>
        <v/>
      </c>
      <c r="B301" s="16"/>
      <c r="C301" s="16"/>
      <c r="D301" s="16"/>
      <c r="E301" s="17"/>
      <c r="F301" s="16"/>
      <c r="G301" s="16"/>
      <c r="H301" s="16"/>
      <c r="I301" s="18"/>
      <c r="J301" s="18"/>
      <c r="K301" s="19" t="str">
        <f t="shared" si="13"/>
        <v/>
      </c>
      <c r="L301" s="16"/>
      <c r="M301" s="16"/>
      <c r="N301" s="16"/>
      <c r="O301" s="20" t="str">
        <f t="shared" ca="1" si="14"/>
        <v/>
      </c>
      <c r="P301" s="16"/>
    </row>
    <row r="302" spans="1:16" x14ac:dyDescent="0.3">
      <c r="A302" s="15" t="str">
        <f t="shared" si="12"/>
        <v/>
      </c>
      <c r="B302" s="16"/>
      <c r="C302" s="16"/>
      <c r="D302" s="16"/>
      <c r="E302" s="17"/>
      <c r="F302" s="16"/>
      <c r="G302" s="16"/>
      <c r="H302" s="16"/>
      <c r="I302" s="18"/>
      <c r="J302" s="18"/>
      <c r="K302" s="19" t="str">
        <f t="shared" si="13"/>
        <v/>
      </c>
      <c r="L302" s="16"/>
      <c r="M302" s="16"/>
      <c r="N302" s="16"/>
      <c r="O302" s="20" t="str">
        <f t="shared" ca="1" si="14"/>
        <v/>
      </c>
      <c r="P302" s="16"/>
    </row>
    <row r="303" spans="1:16" x14ac:dyDescent="0.3">
      <c r="A303" s="15" t="str">
        <f t="shared" si="12"/>
        <v/>
      </c>
      <c r="B303" s="16"/>
      <c r="C303" s="16"/>
      <c r="D303" s="16"/>
      <c r="E303" s="17"/>
      <c r="F303" s="16"/>
      <c r="G303" s="16"/>
      <c r="H303" s="16"/>
      <c r="I303" s="18"/>
      <c r="J303" s="18"/>
      <c r="K303" s="19" t="str">
        <f t="shared" si="13"/>
        <v/>
      </c>
      <c r="L303" s="16"/>
      <c r="M303" s="16"/>
      <c r="N303" s="16"/>
      <c r="O303" s="20" t="str">
        <f t="shared" ca="1" si="14"/>
        <v/>
      </c>
      <c r="P303" s="16"/>
    </row>
    <row r="304" spans="1:16" x14ac:dyDescent="0.3">
      <c r="A304" s="15" t="str">
        <f t="shared" si="12"/>
        <v/>
      </c>
      <c r="B304" s="16"/>
      <c r="C304" s="16"/>
      <c r="D304" s="16"/>
      <c r="E304" s="17"/>
      <c r="F304" s="16"/>
      <c r="G304" s="16"/>
      <c r="H304" s="16"/>
      <c r="I304" s="18"/>
      <c r="J304" s="18"/>
      <c r="K304" s="19" t="str">
        <f t="shared" si="13"/>
        <v/>
      </c>
      <c r="L304" s="16"/>
      <c r="M304" s="16"/>
      <c r="N304" s="16"/>
      <c r="O304" s="20" t="str">
        <f t="shared" ca="1" si="14"/>
        <v/>
      </c>
      <c r="P304" s="16"/>
    </row>
    <row r="305" spans="1:16" x14ac:dyDescent="0.3">
      <c r="A305" s="15" t="str">
        <f t="shared" si="12"/>
        <v/>
      </c>
      <c r="B305" s="16"/>
      <c r="C305" s="16"/>
      <c r="D305" s="16"/>
      <c r="E305" s="17"/>
      <c r="F305" s="16"/>
      <c r="G305" s="16"/>
      <c r="H305" s="16"/>
      <c r="I305" s="18"/>
      <c r="J305" s="18"/>
      <c r="K305" s="19" t="str">
        <f t="shared" si="13"/>
        <v/>
      </c>
      <c r="L305" s="16"/>
      <c r="M305" s="16"/>
      <c r="N305" s="16"/>
      <c r="O305" s="20" t="str">
        <f t="shared" ca="1" si="14"/>
        <v/>
      </c>
      <c r="P305" s="16"/>
    </row>
    <row r="306" spans="1:16" x14ac:dyDescent="0.3">
      <c r="A306" s="15" t="str">
        <f t="shared" si="12"/>
        <v/>
      </c>
      <c r="B306" s="16"/>
      <c r="C306" s="16"/>
      <c r="D306" s="16"/>
      <c r="E306" s="17"/>
      <c r="F306" s="16"/>
      <c r="G306" s="16"/>
      <c r="H306" s="16"/>
      <c r="I306" s="18"/>
      <c r="J306" s="18"/>
      <c r="K306" s="19" t="str">
        <f t="shared" si="13"/>
        <v/>
      </c>
      <c r="L306" s="16"/>
      <c r="M306" s="16"/>
      <c r="N306" s="16"/>
      <c r="O306" s="20" t="str">
        <f t="shared" ca="1" si="14"/>
        <v/>
      </c>
      <c r="P306" s="16"/>
    </row>
    <row r="307" spans="1:16" x14ac:dyDescent="0.3">
      <c r="A307" s="15" t="str">
        <f t="shared" si="12"/>
        <v/>
      </c>
      <c r="B307" s="16"/>
      <c r="C307" s="16"/>
      <c r="D307" s="16"/>
      <c r="E307" s="17"/>
      <c r="F307" s="16"/>
      <c r="G307" s="16"/>
      <c r="H307" s="16"/>
      <c r="I307" s="18"/>
      <c r="J307" s="18"/>
      <c r="K307" s="19" t="str">
        <f t="shared" si="13"/>
        <v/>
      </c>
      <c r="L307" s="16"/>
      <c r="M307" s="16"/>
      <c r="N307" s="16"/>
      <c r="O307" s="20" t="str">
        <f t="shared" ca="1" si="14"/>
        <v/>
      </c>
      <c r="P307" s="16"/>
    </row>
    <row r="308" spans="1:16" x14ac:dyDescent="0.3">
      <c r="A308" s="15" t="str">
        <f t="shared" si="12"/>
        <v/>
      </c>
      <c r="B308" s="16"/>
      <c r="C308" s="16"/>
      <c r="D308" s="16"/>
      <c r="E308" s="17"/>
      <c r="F308" s="16"/>
      <c r="G308" s="16"/>
      <c r="H308" s="16"/>
      <c r="I308" s="18"/>
      <c r="J308" s="18"/>
      <c r="K308" s="19" t="str">
        <f t="shared" si="13"/>
        <v/>
      </c>
      <c r="L308" s="16"/>
      <c r="M308" s="16"/>
      <c r="N308" s="16"/>
      <c r="O308" s="20" t="str">
        <f t="shared" ca="1" si="14"/>
        <v/>
      </c>
      <c r="P308" s="16"/>
    </row>
    <row r="309" spans="1:16" x14ac:dyDescent="0.3">
      <c r="A309" s="15" t="str">
        <f t="shared" si="12"/>
        <v/>
      </c>
      <c r="B309" s="16"/>
      <c r="C309" s="16"/>
      <c r="D309" s="16"/>
      <c r="E309" s="17"/>
      <c r="F309" s="16"/>
      <c r="G309" s="16"/>
      <c r="H309" s="16"/>
      <c r="I309" s="18"/>
      <c r="J309" s="18"/>
      <c r="K309" s="19" t="str">
        <f t="shared" si="13"/>
        <v/>
      </c>
      <c r="L309" s="16"/>
      <c r="M309" s="16"/>
      <c r="N309" s="16"/>
      <c r="O309" s="20" t="str">
        <f t="shared" ca="1" si="14"/>
        <v/>
      </c>
      <c r="P309" s="16"/>
    </row>
    <row r="310" spans="1:16" x14ac:dyDescent="0.3">
      <c r="A310" s="15" t="str">
        <f t="shared" si="12"/>
        <v/>
      </c>
      <c r="B310" s="16"/>
      <c r="C310" s="16"/>
      <c r="D310" s="16"/>
      <c r="E310" s="17"/>
      <c r="F310" s="16"/>
      <c r="G310" s="16"/>
      <c r="H310" s="16"/>
      <c r="I310" s="18"/>
      <c r="J310" s="18"/>
      <c r="K310" s="19" t="str">
        <f t="shared" si="13"/>
        <v/>
      </c>
      <c r="L310" s="16"/>
      <c r="M310" s="16"/>
      <c r="N310" s="16"/>
      <c r="O310" s="20" t="str">
        <f t="shared" ca="1" si="14"/>
        <v/>
      </c>
      <c r="P310" s="16"/>
    </row>
    <row r="311" spans="1:16" x14ac:dyDescent="0.3">
      <c r="A311" s="15" t="str">
        <f t="shared" si="12"/>
        <v/>
      </c>
      <c r="B311" s="16"/>
      <c r="C311" s="16"/>
      <c r="D311" s="16"/>
      <c r="E311" s="17"/>
      <c r="F311" s="16"/>
      <c r="G311" s="16"/>
      <c r="H311" s="16"/>
      <c r="I311" s="18"/>
      <c r="J311" s="18"/>
      <c r="K311" s="19" t="str">
        <f t="shared" si="13"/>
        <v/>
      </c>
      <c r="L311" s="16"/>
      <c r="M311" s="16"/>
      <c r="N311" s="16"/>
      <c r="O311" s="20" t="str">
        <f t="shared" ca="1" si="14"/>
        <v/>
      </c>
      <c r="P311" s="16"/>
    </row>
    <row r="312" spans="1:16" x14ac:dyDescent="0.3">
      <c r="A312" s="15" t="str">
        <f t="shared" si="12"/>
        <v/>
      </c>
      <c r="B312" s="16"/>
      <c r="C312" s="16"/>
      <c r="D312" s="16"/>
      <c r="E312" s="17"/>
      <c r="F312" s="16"/>
      <c r="G312" s="16"/>
      <c r="H312" s="16"/>
      <c r="I312" s="18"/>
      <c r="J312" s="18"/>
      <c r="K312" s="19" t="str">
        <f t="shared" si="13"/>
        <v/>
      </c>
      <c r="L312" s="16"/>
      <c r="M312" s="16"/>
      <c r="N312" s="16"/>
      <c r="O312" s="20" t="str">
        <f t="shared" ca="1" si="14"/>
        <v/>
      </c>
      <c r="P312" s="16"/>
    </row>
    <row r="313" spans="1:16" x14ac:dyDescent="0.3">
      <c r="A313" s="15" t="str">
        <f t="shared" si="12"/>
        <v/>
      </c>
      <c r="B313" s="16"/>
      <c r="C313" s="16"/>
      <c r="D313" s="16"/>
      <c r="E313" s="17"/>
      <c r="F313" s="16"/>
      <c r="G313" s="16"/>
      <c r="H313" s="16"/>
      <c r="I313" s="18"/>
      <c r="J313" s="18"/>
      <c r="K313" s="19" t="str">
        <f t="shared" si="13"/>
        <v/>
      </c>
      <c r="L313" s="16"/>
      <c r="M313" s="16"/>
      <c r="N313" s="16"/>
      <c r="O313" s="20" t="str">
        <f t="shared" ca="1" si="14"/>
        <v/>
      </c>
      <c r="P313" s="16"/>
    </row>
    <row r="314" spans="1:16" x14ac:dyDescent="0.3">
      <c r="A314" s="15" t="str">
        <f t="shared" si="12"/>
        <v/>
      </c>
      <c r="B314" s="16"/>
      <c r="C314" s="16"/>
      <c r="D314" s="16"/>
      <c r="E314" s="17"/>
      <c r="F314" s="16"/>
      <c r="G314" s="16"/>
      <c r="H314" s="16"/>
      <c r="I314" s="18"/>
      <c r="J314" s="18"/>
      <c r="K314" s="19" t="str">
        <f t="shared" si="13"/>
        <v/>
      </c>
      <c r="L314" s="16"/>
      <c r="M314" s="16"/>
      <c r="N314" s="16"/>
      <c r="O314" s="20" t="str">
        <f t="shared" ca="1" si="14"/>
        <v/>
      </c>
      <c r="P314" s="16"/>
    </row>
    <row r="315" spans="1:16" x14ac:dyDescent="0.3">
      <c r="A315" s="15" t="str">
        <f t="shared" si="12"/>
        <v/>
      </c>
      <c r="B315" s="16"/>
      <c r="C315" s="16"/>
      <c r="D315" s="16"/>
      <c r="E315" s="17"/>
      <c r="F315" s="16"/>
      <c r="G315" s="16"/>
      <c r="H315" s="16"/>
      <c r="I315" s="18"/>
      <c r="J315" s="18"/>
      <c r="K315" s="19" t="str">
        <f t="shared" si="13"/>
        <v/>
      </c>
      <c r="L315" s="16"/>
      <c r="M315" s="16"/>
      <c r="N315" s="16"/>
      <c r="O315" s="20" t="str">
        <f t="shared" ca="1" si="14"/>
        <v/>
      </c>
      <c r="P315" s="16"/>
    </row>
    <row r="316" spans="1:16" x14ac:dyDescent="0.3">
      <c r="A316" s="15" t="str">
        <f t="shared" si="12"/>
        <v/>
      </c>
      <c r="B316" s="16"/>
      <c r="C316" s="16"/>
      <c r="D316" s="16"/>
      <c r="E316" s="17"/>
      <c r="F316" s="16"/>
      <c r="G316" s="16"/>
      <c r="H316" s="16"/>
      <c r="I316" s="18"/>
      <c r="J316" s="18"/>
      <c r="K316" s="19" t="str">
        <f t="shared" si="13"/>
        <v/>
      </c>
      <c r="L316" s="16"/>
      <c r="M316" s="16"/>
      <c r="N316" s="16"/>
      <c r="O316" s="20" t="str">
        <f t="shared" ca="1" si="14"/>
        <v/>
      </c>
      <c r="P316" s="16"/>
    </row>
    <row r="317" spans="1:16" x14ac:dyDescent="0.3">
      <c r="A317" s="15" t="str">
        <f t="shared" si="12"/>
        <v/>
      </c>
      <c r="B317" s="16"/>
      <c r="C317" s="16"/>
      <c r="D317" s="16"/>
      <c r="E317" s="17"/>
      <c r="F317" s="16"/>
      <c r="G317" s="16"/>
      <c r="H317" s="16"/>
      <c r="I317" s="18"/>
      <c r="J317" s="18"/>
      <c r="K317" s="19" t="str">
        <f t="shared" si="13"/>
        <v/>
      </c>
      <c r="L317" s="16"/>
      <c r="M317" s="16"/>
      <c r="N317" s="16"/>
      <c r="O317" s="20" t="str">
        <f t="shared" ca="1" si="14"/>
        <v/>
      </c>
      <c r="P317" s="16"/>
    </row>
    <row r="318" spans="1:16" x14ac:dyDescent="0.3">
      <c r="A318" s="15" t="str">
        <f t="shared" si="12"/>
        <v/>
      </c>
      <c r="B318" s="16"/>
      <c r="C318" s="16"/>
      <c r="D318" s="16"/>
      <c r="E318" s="17"/>
      <c r="F318" s="16"/>
      <c r="G318" s="16"/>
      <c r="H318" s="16"/>
      <c r="I318" s="18"/>
      <c r="J318" s="18"/>
      <c r="K318" s="19" t="str">
        <f t="shared" si="13"/>
        <v/>
      </c>
      <c r="L318" s="16"/>
      <c r="M318" s="16"/>
      <c r="N318" s="16"/>
      <c r="O318" s="20" t="str">
        <f t="shared" ca="1" si="14"/>
        <v/>
      </c>
      <c r="P318" s="16"/>
    </row>
    <row r="319" spans="1:16" x14ac:dyDescent="0.3">
      <c r="A319" s="15" t="str">
        <f t="shared" si="12"/>
        <v/>
      </c>
      <c r="B319" s="16"/>
      <c r="C319" s="16"/>
      <c r="D319" s="16"/>
      <c r="E319" s="17"/>
      <c r="F319" s="16"/>
      <c r="G319" s="16"/>
      <c r="H319" s="16"/>
      <c r="I319" s="18"/>
      <c r="J319" s="18"/>
      <c r="K319" s="19" t="str">
        <f t="shared" si="13"/>
        <v/>
      </c>
      <c r="L319" s="16"/>
      <c r="M319" s="16"/>
      <c r="N319" s="16"/>
      <c r="O319" s="20" t="str">
        <f t="shared" ca="1" si="14"/>
        <v/>
      </c>
      <c r="P319" s="16"/>
    </row>
    <row r="320" spans="1:16" x14ac:dyDescent="0.3">
      <c r="A320" s="15" t="str">
        <f t="shared" si="12"/>
        <v/>
      </c>
      <c r="B320" s="16"/>
      <c r="C320" s="16"/>
      <c r="D320" s="16"/>
      <c r="E320" s="17"/>
      <c r="F320" s="16"/>
      <c r="G320" s="16"/>
      <c r="H320" s="16"/>
      <c r="I320" s="18"/>
      <c r="J320" s="18"/>
      <c r="K320" s="19" t="str">
        <f t="shared" si="13"/>
        <v/>
      </c>
      <c r="L320" s="16"/>
      <c r="M320" s="16"/>
      <c r="N320" s="16"/>
      <c r="O320" s="20" t="str">
        <f t="shared" ca="1" si="14"/>
        <v/>
      </c>
      <c r="P320" s="16"/>
    </row>
    <row r="321" spans="1:16" x14ac:dyDescent="0.3">
      <c r="A321" s="15" t="str">
        <f t="shared" si="12"/>
        <v/>
      </c>
      <c r="B321" s="16"/>
      <c r="C321" s="16"/>
      <c r="D321" s="16"/>
      <c r="E321" s="17"/>
      <c r="F321" s="16"/>
      <c r="G321" s="16"/>
      <c r="H321" s="16"/>
      <c r="I321" s="18"/>
      <c r="J321" s="18"/>
      <c r="K321" s="19" t="str">
        <f t="shared" si="13"/>
        <v/>
      </c>
      <c r="L321" s="16"/>
      <c r="M321" s="16"/>
      <c r="N321" s="16"/>
      <c r="O321" s="20" t="str">
        <f t="shared" ca="1" si="14"/>
        <v/>
      </c>
      <c r="P321" s="16"/>
    </row>
    <row r="322" spans="1:16" x14ac:dyDescent="0.3">
      <c r="A322" s="15" t="str">
        <f t="shared" ref="A322:A385" si="15">IF(B322="","","JOB-"&amp;TEXT(ROW()-1,"0000"))</f>
        <v/>
      </c>
      <c r="B322" s="16"/>
      <c r="C322" s="16"/>
      <c r="D322" s="16"/>
      <c r="E322" s="17"/>
      <c r="F322" s="16"/>
      <c r="G322" s="16"/>
      <c r="H322" s="16"/>
      <c r="I322" s="18"/>
      <c r="J322" s="18"/>
      <c r="K322" s="19" t="str">
        <f t="shared" ref="K322:K385" si="16">IF(B322="","",IF(H322="paid",0,MAX(0,I322-J322)))</f>
        <v/>
      </c>
      <c r="L322" s="16"/>
      <c r="M322" s="16"/>
      <c r="N322" s="16"/>
      <c r="O322" s="20" t="str">
        <f t="shared" ref="O322:O385" ca="1" si="17">IF(B322="","",TODAY())</f>
        <v/>
      </c>
      <c r="P322" s="16"/>
    </row>
    <row r="323" spans="1:16" x14ac:dyDescent="0.3">
      <c r="A323" s="15" t="str">
        <f t="shared" si="15"/>
        <v/>
      </c>
      <c r="B323" s="16"/>
      <c r="C323" s="16"/>
      <c r="D323" s="16"/>
      <c r="E323" s="17"/>
      <c r="F323" s="16"/>
      <c r="G323" s="16"/>
      <c r="H323" s="16"/>
      <c r="I323" s="18"/>
      <c r="J323" s="18"/>
      <c r="K323" s="19" t="str">
        <f t="shared" si="16"/>
        <v/>
      </c>
      <c r="L323" s="16"/>
      <c r="M323" s="16"/>
      <c r="N323" s="16"/>
      <c r="O323" s="20" t="str">
        <f t="shared" ca="1" si="17"/>
        <v/>
      </c>
      <c r="P323" s="16"/>
    </row>
    <row r="324" spans="1:16" x14ac:dyDescent="0.3">
      <c r="A324" s="15" t="str">
        <f t="shared" si="15"/>
        <v/>
      </c>
      <c r="B324" s="16"/>
      <c r="C324" s="16"/>
      <c r="D324" s="16"/>
      <c r="E324" s="17"/>
      <c r="F324" s="16"/>
      <c r="G324" s="16"/>
      <c r="H324" s="16"/>
      <c r="I324" s="18"/>
      <c r="J324" s="18"/>
      <c r="K324" s="19" t="str">
        <f t="shared" si="16"/>
        <v/>
      </c>
      <c r="L324" s="16"/>
      <c r="M324" s="16"/>
      <c r="N324" s="16"/>
      <c r="O324" s="20" t="str">
        <f t="shared" ca="1" si="17"/>
        <v/>
      </c>
      <c r="P324" s="16"/>
    </row>
    <row r="325" spans="1:16" x14ac:dyDescent="0.3">
      <c r="A325" s="15" t="str">
        <f t="shared" si="15"/>
        <v/>
      </c>
      <c r="B325" s="16"/>
      <c r="C325" s="16"/>
      <c r="D325" s="16"/>
      <c r="E325" s="17"/>
      <c r="F325" s="16"/>
      <c r="G325" s="16"/>
      <c r="H325" s="16"/>
      <c r="I325" s="18"/>
      <c r="J325" s="18"/>
      <c r="K325" s="19" t="str">
        <f t="shared" si="16"/>
        <v/>
      </c>
      <c r="L325" s="16"/>
      <c r="M325" s="16"/>
      <c r="N325" s="16"/>
      <c r="O325" s="20" t="str">
        <f t="shared" ca="1" si="17"/>
        <v/>
      </c>
      <c r="P325" s="16"/>
    </row>
    <row r="326" spans="1:16" x14ac:dyDescent="0.3">
      <c r="A326" s="15" t="str">
        <f t="shared" si="15"/>
        <v/>
      </c>
      <c r="B326" s="16"/>
      <c r="C326" s="16"/>
      <c r="D326" s="16"/>
      <c r="E326" s="17"/>
      <c r="F326" s="16"/>
      <c r="G326" s="16"/>
      <c r="H326" s="16"/>
      <c r="I326" s="18"/>
      <c r="J326" s="18"/>
      <c r="K326" s="19" t="str">
        <f t="shared" si="16"/>
        <v/>
      </c>
      <c r="L326" s="16"/>
      <c r="M326" s="16"/>
      <c r="N326" s="16"/>
      <c r="O326" s="20" t="str">
        <f t="shared" ca="1" si="17"/>
        <v/>
      </c>
      <c r="P326" s="16"/>
    </row>
    <row r="327" spans="1:16" x14ac:dyDescent="0.3">
      <c r="A327" s="15" t="str">
        <f t="shared" si="15"/>
        <v/>
      </c>
      <c r="B327" s="16"/>
      <c r="C327" s="16"/>
      <c r="D327" s="16"/>
      <c r="E327" s="17"/>
      <c r="F327" s="16"/>
      <c r="G327" s="16"/>
      <c r="H327" s="16"/>
      <c r="I327" s="18"/>
      <c r="J327" s="18"/>
      <c r="K327" s="19" t="str">
        <f t="shared" si="16"/>
        <v/>
      </c>
      <c r="L327" s="16"/>
      <c r="M327" s="16"/>
      <c r="N327" s="16"/>
      <c r="O327" s="20" t="str">
        <f t="shared" ca="1" si="17"/>
        <v/>
      </c>
      <c r="P327" s="16"/>
    </row>
    <row r="328" spans="1:16" x14ac:dyDescent="0.3">
      <c r="A328" s="15" t="str">
        <f t="shared" si="15"/>
        <v/>
      </c>
      <c r="B328" s="16"/>
      <c r="C328" s="16"/>
      <c r="D328" s="16"/>
      <c r="E328" s="17"/>
      <c r="F328" s="16"/>
      <c r="G328" s="16"/>
      <c r="H328" s="16"/>
      <c r="I328" s="18"/>
      <c r="J328" s="18"/>
      <c r="K328" s="19" t="str">
        <f t="shared" si="16"/>
        <v/>
      </c>
      <c r="L328" s="16"/>
      <c r="M328" s="16"/>
      <c r="N328" s="16"/>
      <c r="O328" s="20" t="str">
        <f t="shared" ca="1" si="17"/>
        <v/>
      </c>
      <c r="P328" s="16"/>
    </row>
    <row r="329" spans="1:16" x14ac:dyDescent="0.3">
      <c r="A329" s="15" t="str">
        <f t="shared" si="15"/>
        <v/>
      </c>
      <c r="B329" s="16"/>
      <c r="C329" s="16"/>
      <c r="D329" s="16"/>
      <c r="E329" s="17"/>
      <c r="F329" s="16"/>
      <c r="G329" s="16"/>
      <c r="H329" s="16"/>
      <c r="I329" s="18"/>
      <c r="J329" s="18"/>
      <c r="K329" s="19" t="str">
        <f t="shared" si="16"/>
        <v/>
      </c>
      <c r="L329" s="16"/>
      <c r="M329" s="16"/>
      <c r="N329" s="16"/>
      <c r="O329" s="20" t="str">
        <f t="shared" ca="1" si="17"/>
        <v/>
      </c>
      <c r="P329" s="16"/>
    </row>
    <row r="330" spans="1:16" x14ac:dyDescent="0.3">
      <c r="A330" s="15" t="str">
        <f t="shared" si="15"/>
        <v/>
      </c>
      <c r="B330" s="16"/>
      <c r="C330" s="16"/>
      <c r="D330" s="16"/>
      <c r="E330" s="17"/>
      <c r="F330" s="16"/>
      <c r="G330" s="16"/>
      <c r="H330" s="16"/>
      <c r="I330" s="18"/>
      <c r="J330" s="18"/>
      <c r="K330" s="19" t="str">
        <f t="shared" si="16"/>
        <v/>
      </c>
      <c r="L330" s="16"/>
      <c r="M330" s="16"/>
      <c r="N330" s="16"/>
      <c r="O330" s="20" t="str">
        <f t="shared" ca="1" si="17"/>
        <v/>
      </c>
      <c r="P330" s="16"/>
    </row>
    <row r="331" spans="1:16" x14ac:dyDescent="0.3">
      <c r="A331" s="15" t="str">
        <f t="shared" si="15"/>
        <v/>
      </c>
      <c r="B331" s="16"/>
      <c r="C331" s="16"/>
      <c r="D331" s="16"/>
      <c r="E331" s="17"/>
      <c r="F331" s="16"/>
      <c r="G331" s="16"/>
      <c r="H331" s="16"/>
      <c r="I331" s="18"/>
      <c r="J331" s="18"/>
      <c r="K331" s="19" t="str">
        <f t="shared" si="16"/>
        <v/>
      </c>
      <c r="L331" s="16"/>
      <c r="M331" s="16"/>
      <c r="N331" s="16"/>
      <c r="O331" s="20" t="str">
        <f t="shared" ca="1" si="17"/>
        <v/>
      </c>
      <c r="P331" s="16"/>
    </row>
    <row r="332" spans="1:16" x14ac:dyDescent="0.3">
      <c r="A332" s="15" t="str">
        <f t="shared" si="15"/>
        <v/>
      </c>
      <c r="B332" s="16"/>
      <c r="C332" s="16"/>
      <c r="D332" s="16"/>
      <c r="E332" s="17"/>
      <c r="F332" s="16"/>
      <c r="G332" s="16"/>
      <c r="H332" s="16"/>
      <c r="I332" s="18"/>
      <c r="J332" s="18"/>
      <c r="K332" s="19" t="str">
        <f t="shared" si="16"/>
        <v/>
      </c>
      <c r="L332" s="16"/>
      <c r="M332" s="16"/>
      <c r="N332" s="16"/>
      <c r="O332" s="20" t="str">
        <f t="shared" ca="1" si="17"/>
        <v/>
      </c>
      <c r="P332" s="16"/>
    </row>
    <row r="333" spans="1:16" x14ac:dyDescent="0.3">
      <c r="A333" s="15" t="str">
        <f t="shared" si="15"/>
        <v/>
      </c>
      <c r="B333" s="16"/>
      <c r="C333" s="16"/>
      <c r="D333" s="16"/>
      <c r="E333" s="17"/>
      <c r="F333" s="16"/>
      <c r="G333" s="16"/>
      <c r="H333" s="16"/>
      <c r="I333" s="18"/>
      <c r="J333" s="18"/>
      <c r="K333" s="19" t="str">
        <f t="shared" si="16"/>
        <v/>
      </c>
      <c r="L333" s="16"/>
      <c r="M333" s="16"/>
      <c r="N333" s="16"/>
      <c r="O333" s="20" t="str">
        <f t="shared" ca="1" si="17"/>
        <v/>
      </c>
      <c r="P333" s="16"/>
    </row>
    <row r="334" spans="1:16" x14ac:dyDescent="0.3">
      <c r="A334" s="15" t="str">
        <f t="shared" si="15"/>
        <v/>
      </c>
      <c r="B334" s="16"/>
      <c r="C334" s="16"/>
      <c r="D334" s="16"/>
      <c r="E334" s="17"/>
      <c r="F334" s="16"/>
      <c r="G334" s="16"/>
      <c r="H334" s="16"/>
      <c r="I334" s="18"/>
      <c r="J334" s="18"/>
      <c r="K334" s="19" t="str">
        <f t="shared" si="16"/>
        <v/>
      </c>
      <c r="L334" s="16"/>
      <c r="M334" s="16"/>
      <c r="N334" s="16"/>
      <c r="O334" s="20" t="str">
        <f t="shared" ca="1" si="17"/>
        <v/>
      </c>
      <c r="P334" s="16"/>
    </row>
    <row r="335" spans="1:16" x14ac:dyDescent="0.3">
      <c r="A335" s="15" t="str">
        <f t="shared" si="15"/>
        <v/>
      </c>
      <c r="B335" s="16"/>
      <c r="C335" s="16"/>
      <c r="D335" s="16"/>
      <c r="E335" s="17"/>
      <c r="F335" s="16"/>
      <c r="G335" s="16"/>
      <c r="H335" s="16"/>
      <c r="I335" s="18"/>
      <c r="J335" s="18"/>
      <c r="K335" s="19" t="str">
        <f t="shared" si="16"/>
        <v/>
      </c>
      <c r="L335" s="16"/>
      <c r="M335" s="16"/>
      <c r="N335" s="16"/>
      <c r="O335" s="20" t="str">
        <f t="shared" ca="1" si="17"/>
        <v/>
      </c>
      <c r="P335" s="16"/>
    </row>
    <row r="336" spans="1:16" x14ac:dyDescent="0.3">
      <c r="A336" s="15" t="str">
        <f t="shared" si="15"/>
        <v/>
      </c>
      <c r="B336" s="16"/>
      <c r="C336" s="16"/>
      <c r="D336" s="16"/>
      <c r="E336" s="17"/>
      <c r="F336" s="16"/>
      <c r="G336" s="16"/>
      <c r="H336" s="16"/>
      <c r="I336" s="18"/>
      <c r="J336" s="18"/>
      <c r="K336" s="19" t="str">
        <f t="shared" si="16"/>
        <v/>
      </c>
      <c r="L336" s="16"/>
      <c r="M336" s="16"/>
      <c r="N336" s="16"/>
      <c r="O336" s="20" t="str">
        <f t="shared" ca="1" si="17"/>
        <v/>
      </c>
      <c r="P336" s="16"/>
    </row>
    <row r="337" spans="1:16" x14ac:dyDescent="0.3">
      <c r="A337" s="15" t="str">
        <f t="shared" si="15"/>
        <v/>
      </c>
      <c r="B337" s="16"/>
      <c r="C337" s="16"/>
      <c r="D337" s="16"/>
      <c r="E337" s="17"/>
      <c r="F337" s="16"/>
      <c r="G337" s="16"/>
      <c r="H337" s="16"/>
      <c r="I337" s="18"/>
      <c r="J337" s="18"/>
      <c r="K337" s="19" t="str">
        <f t="shared" si="16"/>
        <v/>
      </c>
      <c r="L337" s="16"/>
      <c r="M337" s="16"/>
      <c r="N337" s="16"/>
      <c r="O337" s="20" t="str">
        <f t="shared" ca="1" si="17"/>
        <v/>
      </c>
      <c r="P337" s="16"/>
    </row>
    <row r="338" spans="1:16" x14ac:dyDescent="0.3">
      <c r="A338" s="15" t="str">
        <f t="shared" si="15"/>
        <v/>
      </c>
      <c r="B338" s="16"/>
      <c r="C338" s="16"/>
      <c r="D338" s="16"/>
      <c r="E338" s="17"/>
      <c r="F338" s="16"/>
      <c r="G338" s="16"/>
      <c r="H338" s="16"/>
      <c r="I338" s="18"/>
      <c r="J338" s="18"/>
      <c r="K338" s="19" t="str">
        <f t="shared" si="16"/>
        <v/>
      </c>
      <c r="L338" s="16"/>
      <c r="M338" s="16"/>
      <c r="N338" s="16"/>
      <c r="O338" s="20" t="str">
        <f t="shared" ca="1" si="17"/>
        <v/>
      </c>
      <c r="P338" s="16"/>
    </row>
    <row r="339" spans="1:16" x14ac:dyDescent="0.3">
      <c r="A339" s="15" t="str">
        <f t="shared" si="15"/>
        <v/>
      </c>
      <c r="B339" s="16"/>
      <c r="C339" s="16"/>
      <c r="D339" s="16"/>
      <c r="E339" s="17"/>
      <c r="F339" s="16"/>
      <c r="G339" s="16"/>
      <c r="H339" s="16"/>
      <c r="I339" s="18"/>
      <c r="J339" s="18"/>
      <c r="K339" s="19" t="str">
        <f t="shared" si="16"/>
        <v/>
      </c>
      <c r="L339" s="16"/>
      <c r="M339" s="16"/>
      <c r="N339" s="16"/>
      <c r="O339" s="20" t="str">
        <f t="shared" ca="1" si="17"/>
        <v/>
      </c>
      <c r="P339" s="16"/>
    </row>
    <row r="340" spans="1:16" x14ac:dyDescent="0.3">
      <c r="A340" s="15" t="str">
        <f t="shared" si="15"/>
        <v/>
      </c>
      <c r="B340" s="16"/>
      <c r="C340" s="16"/>
      <c r="D340" s="16"/>
      <c r="E340" s="17"/>
      <c r="F340" s="16"/>
      <c r="G340" s="16"/>
      <c r="H340" s="16"/>
      <c r="I340" s="18"/>
      <c r="J340" s="18"/>
      <c r="K340" s="19" t="str">
        <f t="shared" si="16"/>
        <v/>
      </c>
      <c r="L340" s="16"/>
      <c r="M340" s="16"/>
      <c r="N340" s="16"/>
      <c r="O340" s="20" t="str">
        <f t="shared" ca="1" si="17"/>
        <v/>
      </c>
      <c r="P340" s="16"/>
    </row>
    <row r="341" spans="1:16" x14ac:dyDescent="0.3">
      <c r="A341" s="15" t="str">
        <f t="shared" si="15"/>
        <v/>
      </c>
      <c r="B341" s="16"/>
      <c r="C341" s="16"/>
      <c r="D341" s="16"/>
      <c r="E341" s="17"/>
      <c r="F341" s="16"/>
      <c r="G341" s="16"/>
      <c r="H341" s="16"/>
      <c r="I341" s="18"/>
      <c r="J341" s="18"/>
      <c r="K341" s="19" t="str">
        <f t="shared" si="16"/>
        <v/>
      </c>
      <c r="L341" s="16"/>
      <c r="M341" s="16"/>
      <c r="N341" s="16"/>
      <c r="O341" s="20" t="str">
        <f t="shared" ca="1" si="17"/>
        <v/>
      </c>
      <c r="P341" s="16"/>
    </row>
    <row r="342" spans="1:16" x14ac:dyDescent="0.3">
      <c r="A342" s="15" t="str">
        <f t="shared" si="15"/>
        <v/>
      </c>
      <c r="B342" s="16"/>
      <c r="C342" s="16"/>
      <c r="D342" s="16"/>
      <c r="E342" s="17"/>
      <c r="F342" s="16"/>
      <c r="G342" s="16"/>
      <c r="H342" s="16"/>
      <c r="I342" s="18"/>
      <c r="J342" s="18"/>
      <c r="K342" s="19" t="str">
        <f t="shared" si="16"/>
        <v/>
      </c>
      <c r="L342" s="16"/>
      <c r="M342" s="16"/>
      <c r="N342" s="16"/>
      <c r="O342" s="20" t="str">
        <f t="shared" ca="1" si="17"/>
        <v/>
      </c>
      <c r="P342" s="16"/>
    </row>
    <row r="343" spans="1:16" x14ac:dyDescent="0.3">
      <c r="A343" s="15" t="str">
        <f t="shared" si="15"/>
        <v/>
      </c>
      <c r="B343" s="16"/>
      <c r="C343" s="16"/>
      <c r="D343" s="16"/>
      <c r="E343" s="17"/>
      <c r="F343" s="16"/>
      <c r="G343" s="16"/>
      <c r="H343" s="16"/>
      <c r="I343" s="18"/>
      <c r="J343" s="18"/>
      <c r="K343" s="19" t="str">
        <f t="shared" si="16"/>
        <v/>
      </c>
      <c r="L343" s="16"/>
      <c r="M343" s="16"/>
      <c r="N343" s="16"/>
      <c r="O343" s="20" t="str">
        <f t="shared" ca="1" si="17"/>
        <v/>
      </c>
      <c r="P343" s="16"/>
    </row>
    <row r="344" spans="1:16" x14ac:dyDescent="0.3">
      <c r="A344" s="15" t="str">
        <f t="shared" si="15"/>
        <v/>
      </c>
      <c r="B344" s="16"/>
      <c r="C344" s="16"/>
      <c r="D344" s="16"/>
      <c r="E344" s="17"/>
      <c r="F344" s="16"/>
      <c r="G344" s="16"/>
      <c r="H344" s="16"/>
      <c r="I344" s="18"/>
      <c r="J344" s="18"/>
      <c r="K344" s="19" t="str">
        <f t="shared" si="16"/>
        <v/>
      </c>
      <c r="L344" s="16"/>
      <c r="M344" s="16"/>
      <c r="N344" s="16"/>
      <c r="O344" s="20" t="str">
        <f t="shared" ca="1" si="17"/>
        <v/>
      </c>
      <c r="P344" s="16"/>
    </row>
    <row r="345" spans="1:16" x14ac:dyDescent="0.3">
      <c r="A345" s="15" t="str">
        <f t="shared" si="15"/>
        <v/>
      </c>
      <c r="B345" s="16"/>
      <c r="C345" s="16"/>
      <c r="D345" s="16"/>
      <c r="E345" s="17"/>
      <c r="F345" s="16"/>
      <c r="G345" s="16"/>
      <c r="H345" s="16"/>
      <c r="I345" s="18"/>
      <c r="J345" s="18"/>
      <c r="K345" s="19" t="str">
        <f t="shared" si="16"/>
        <v/>
      </c>
      <c r="L345" s="16"/>
      <c r="M345" s="16"/>
      <c r="N345" s="16"/>
      <c r="O345" s="20" t="str">
        <f t="shared" ca="1" si="17"/>
        <v/>
      </c>
      <c r="P345" s="16"/>
    </row>
    <row r="346" spans="1:16" x14ac:dyDescent="0.3">
      <c r="A346" s="15" t="str">
        <f t="shared" si="15"/>
        <v/>
      </c>
      <c r="B346" s="16"/>
      <c r="C346" s="16"/>
      <c r="D346" s="16"/>
      <c r="E346" s="17"/>
      <c r="F346" s="16"/>
      <c r="G346" s="16"/>
      <c r="H346" s="16"/>
      <c r="I346" s="18"/>
      <c r="J346" s="18"/>
      <c r="K346" s="19" t="str">
        <f t="shared" si="16"/>
        <v/>
      </c>
      <c r="L346" s="16"/>
      <c r="M346" s="16"/>
      <c r="N346" s="16"/>
      <c r="O346" s="20" t="str">
        <f t="shared" ca="1" si="17"/>
        <v/>
      </c>
      <c r="P346" s="16"/>
    </row>
    <row r="347" spans="1:16" x14ac:dyDescent="0.3">
      <c r="A347" s="15" t="str">
        <f t="shared" si="15"/>
        <v/>
      </c>
      <c r="B347" s="16"/>
      <c r="C347" s="16"/>
      <c r="D347" s="16"/>
      <c r="E347" s="17"/>
      <c r="F347" s="16"/>
      <c r="G347" s="16"/>
      <c r="H347" s="16"/>
      <c r="I347" s="18"/>
      <c r="J347" s="18"/>
      <c r="K347" s="19" t="str">
        <f t="shared" si="16"/>
        <v/>
      </c>
      <c r="L347" s="16"/>
      <c r="M347" s="16"/>
      <c r="N347" s="16"/>
      <c r="O347" s="20" t="str">
        <f t="shared" ca="1" si="17"/>
        <v/>
      </c>
      <c r="P347" s="16"/>
    </row>
    <row r="348" spans="1:16" x14ac:dyDescent="0.3">
      <c r="A348" s="15" t="str">
        <f t="shared" si="15"/>
        <v/>
      </c>
      <c r="B348" s="16"/>
      <c r="C348" s="16"/>
      <c r="D348" s="16"/>
      <c r="E348" s="17"/>
      <c r="F348" s="16"/>
      <c r="G348" s="16"/>
      <c r="H348" s="16"/>
      <c r="I348" s="18"/>
      <c r="J348" s="18"/>
      <c r="K348" s="19" t="str">
        <f t="shared" si="16"/>
        <v/>
      </c>
      <c r="L348" s="16"/>
      <c r="M348" s="16"/>
      <c r="N348" s="16"/>
      <c r="O348" s="20" t="str">
        <f t="shared" ca="1" si="17"/>
        <v/>
      </c>
      <c r="P348" s="16"/>
    </row>
    <row r="349" spans="1:16" x14ac:dyDescent="0.3">
      <c r="A349" s="15" t="str">
        <f t="shared" si="15"/>
        <v/>
      </c>
      <c r="B349" s="16"/>
      <c r="C349" s="16"/>
      <c r="D349" s="16"/>
      <c r="E349" s="17"/>
      <c r="F349" s="16"/>
      <c r="G349" s="16"/>
      <c r="H349" s="16"/>
      <c r="I349" s="18"/>
      <c r="J349" s="18"/>
      <c r="K349" s="19" t="str">
        <f t="shared" si="16"/>
        <v/>
      </c>
      <c r="L349" s="16"/>
      <c r="M349" s="16"/>
      <c r="N349" s="16"/>
      <c r="O349" s="20" t="str">
        <f t="shared" ca="1" si="17"/>
        <v/>
      </c>
      <c r="P349" s="16"/>
    </row>
    <row r="350" spans="1:16" x14ac:dyDescent="0.3">
      <c r="A350" s="15" t="str">
        <f t="shared" si="15"/>
        <v/>
      </c>
      <c r="B350" s="16"/>
      <c r="C350" s="16"/>
      <c r="D350" s="16"/>
      <c r="E350" s="17"/>
      <c r="F350" s="16"/>
      <c r="G350" s="16"/>
      <c r="H350" s="16"/>
      <c r="I350" s="18"/>
      <c r="J350" s="18"/>
      <c r="K350" s="19" t="str">
        <f t="shared" si="16"/>
        <v/>
      </c>
      <c r="L350" s="16"/>
      <c r="M350" s="16"/>
      <c r="N350" s="16"/>
      <c r="O350" s="20" t="str">
        <f t="shared" ca="1" si="17"/>
        <v/>
      </c>
      <c r="P350" s="16"/>
    </row>
    <row r="351" spans="1:16" x14ac:dyDescent="0.3">
      <c r="A351" s="15" t="str">
        <f t="shared" si="15"/>
        <v/>
      </c>
      <c r="B351" s="16"/>
      <c r="C351" s="16"/>
      <c r="D351" s="16"/>
      <c r="E351" s="17"/>
      <c r="F351" s="16"/>
      <c r="G351" s="16"/>
      <c r="H351" s="16"/>
      <c r="I351" s="18"/>
      <c r="J351" s="18"/>
      <c r="K351" s="19" t="str">
        <f t="shared" si="16"/>
        <v/>
      </c>
      <c r="L351" s="16"/>
      <c r="M351" s="16"/>
      <c r="N351" s="16"/>
      <c r="O351" s="20" t="str">
        <f t="shared" ca="1" si="17"/>
        <v/>
      </c>
      <c r="P351" s="16"/>
    </row>
    <row r="352" spans="1:16" x14ac:dyDescent="0.3">
      <c r="A352" s="15" t="str">
        <f t="shared" si="15"/>
        <v/>
      </c>
      <c r="B352" s="16"/>
      <c r="C352" s="16"/>
      <c r="D352" s="16"/>
      <c r="E352" s="17"/>
      <c r="F352" s="16"/>
      <c r="G352" s="16"/>
      <c r="H352" s="16"/>
      <c r="I352" s="18"/>
      <c r="J352" s="18"/>
      <c r="K352" s="19" t="str">
        <f t="shared" si="16"/>
        <v/>
      </c>
      <c r="L352" s="16"/>
      <c r="M352" s="16"/>
      <c r="N352" s="16"/>
      <c r="O352" s="20" t="str">
        <f t="shared" ca="1" si="17"/>
        <v/>
      </c>
      <c r="P352" s="16"/>
    </row>
    <row r="353" spans="1:16" x14ac:dyDescent="0.3">
      <c r="A353" s="15" t="str">
        <f t="shared" si="15"/>
        <v/>
      </c>
      <c r="B353" s="16"/>
      <c r="C353" s="16"/>
      <c r="D353" s="16"/>
      <c r="E353" s="17"/>
      <c r="F353" s="16"/>
      <c r="G353" s="16"/>
      <c r="H353" s="16"/>
      <c r="I353" s="18"/>
      <c r="J353" s="18"/>
      <c r="K353" s="19" t="str">
        <f t="shared" si="16"/>
        <v/>
      </c>
      <c r="L353" s="16"/>
      <c r="M353" s="16"/>
      <c r="N353" s="16"/>
      <c r="O353" s="20" t="str">
        <f t="shared" ca="1" si="17"/>
        <v/>
      </c>
      <c r="P353" s="16"/>
    </row>
    <row r="354" spans="1:16" x14ac:dyDescent="0.3">
      <c r="A354" s="15" t="str">
        <f t="shared" si="15"/>
        <v/>
      </c>
      <c r="B354" s="16"/>
      <c r="C354" s="16"/>
      <c r="D354" s="16"/>
      <c r="E354" s="17"/>
      <c r="F354" s="16"/>
      <c r="G354" s="16"/>
      <c r="H354" s="16"/>
      <c r="I354" s="18"/>
      <c r="J354" s="18"/>
      <c r="K354" s="19" t="str">
        <f t="shared" si="16"/>
        <v/>
      </c>
      <c r="L354" s="16"/>
      <c r="M354" s="16"/>
      <c r="N354" s="16"/>
      <c r="O354" s="20" t="str">
        <f t="shared" ca="1" si="17"/>
        <v/>
      </c>
      <c r="P354" s="16"/>
    </row>
    <row r="355" spans="1:16" x14ac:dyDescent="0.3">
      <c r="A355" s="15" t="str">
        <f t="shared" si="15"/>
        <v/>
      </c>
      <c r="B355" s="16"/>
      <c r="C355" s="16"/>
      <c r="D355" s="16"/>
      <c r="E355" s="17"/>
      <c r="F355" s="16"/>
      <c r="G355" s="16"/>
      <c r="H355" s="16"/>
      <c r="I355" s="18"/>
      <c r="J355" s="18"/>
      <c r="K355" s="19" t="str">
        <f t="shared" si="16"/>
        <v/>
      </c>
      <c r="L355" s="16"/>
      <c r="M355" s="16"/>
      <c r="N355" s="16"/>
      <c r="O355" s="20" t="str">
        <f t="shared" ca="1" si="17"/>
        <v/>
      </c>
      <c r="P355" s="16"/>
    </row>
    <row r="356" spans="1:16" x14ac:dyDescent="0.3">
      <c r="A356" s="15" t="str">
        <f t="shared" si="15"/>
        <v/>
      </c>
      <c r="B356" s="16"/>
      <c r="C356" s="16"/>
      <c r="D356" s="16"/>
      <c r="E356" s="17"/>
      <c r="F356" s="16"/>
      <c r="G356" s="16"/>
      <c r="H356" s="16"/>
      <c r="I356" s="18"/>
      <c r="J356" s="18"/>
      <c r="K356" s="19" t="str">
        <f t="shared" si="16"/>
        <v/>
      </c>
      <c r="L356" s="16"/>
      <c r="M356" s="16"/>
      <c r="N356" s="16"/>
      <c r="O356" s="20" t="str">
        <f t="shared" ca="1" si="17"/>
        <v/>
      </c>
      <c r="P356" s="16"/>
    </row>
    <row r="357" spans="1:16" x14ac:dyDescent="0.3">
      <c r="A357" s="15" t="str">
        <f t="shared" si="15"/>
        <v/>
      </c>
      <c r="B357" s="16"/>
      <c r="C357" s="16"/>
      <c r="D357" s="16"/>
      <c r="E357" s="17"/>
      <c r="F357" s="16"/>
      <c r="G357" s="16"/>
      <c r="H357" s="16"/>
      <c r="I357" s="18"/>
      <c r="J357" s="18"/>
      <c r="K357" s="19" t="str">
        <f t="shared" si="16"/>
        <v/>
      </c>
      <c r="L357" s="16"/>
      <c r="M357" s="16"/>
      <c r="N357" s="16"/>
      <c r="O357" s="20" t="str">
        <f t="shared" ca="1" si="17"/>
        <v/>
      </c>
      <c r="P357" s="16"/>
    </row>
    <row r="358" spans="1:16" x14ac:dyDescent="0.3">
      <c r="A358" s="15" t="str">
        <f t="shared" si="15"/>
        <v/>
      </c>
      <c r="B358" s="16"/>
      <c r="C358" s="16"/>
      <c r="D358" s="16"/>
      <c r="E358" s="17"/>
      <c r="F358" s="16"/>
      <c r="G358" s="16"/>
      <c r="H358" s="16"/>
      <c r="I358" s="18"/>
      <c r="J358" s="18"/>
      <c r="K358" s="19" t="str">
        <f t="shared" si="16"/>
        <v/>
      </c>
      <c r="L358" s="16"/>
      <c r="M358" s="16"/>
      <c r="N358" s="16"/>
      <c r="O358" s="20" t="str">
        <f t="shared" ca="1" si="17"/>
        <v/>
      </c>
      <c r="P358" s="16"/>
    </row>
    <row r="359" spans="1:16" x14ac:dyDescent="0.3">
      <c r="A359" s="15" t="str">
        <f t="shared" si="15"/>
        <v/>
      </c>
      <c r="B359" s="16"/>
      <c r="C359" s="16"/>
      <c r="D359" s="16"/>
      <c r="E359" s="17"/>
      <c r="F359" s="16"/>
      <c r="G359" s="16"/>
      <c r="H359" s="16"/>
      <c r="I359" s="18"/>
      <c r="J359" s="18"/>
      <c r="K359" s="19" t="str">
        <f t="shared" si="16"/>
        <v/>
      </c>
      <c r="L359" s="16"/>
      <c r="M359" s="16"/>
      <c r="N359" s="16"/>
      <c r="O359" s="20" t="str">
        <f t="shared" ca="1" si="17"/>
        <v/>
      </c>
      <c r="P359" s="16"/>
    </row>
    <row r="360" spans="1:16" x14ac:dyDescent="0.3">
      <c r="A360" s="15" t="str">
        <f t="shared" si="15"/>
        <v/>
      </c>
      <c r="B360" s="16"/>
      <c r="C360" s="16"/>
      <c r="D360" s="16"/>
      <c r="E360" s="17"/>
      <c r="F360" s="16"/>
      <c r="G360" s="16"/>
      <c r="H360" s="16"/>
      <c r="I360" s="18"/>
      <c r="J360" s="18"/>
      <c r="K360" s="19" t="str">
        <f t="shared" si="16"/>
        <v/>
      </c>
      <c r="L360" s="16"/>
      <c r="M360" s="16"/>
      <c r="N360" s="16"/>
      <c r="O360" s="20" t="str">
        <f t="shared" ca="1" si="17"/>
        <v/>
      </c>
      <c r="P360" s="16"/>
    </row>
    <row r="361" spans="1:16" x14ac:dyDescent="0.3">
      <c r="A361" s="15" t="str">
        <f t="shared" si="15"/>
        <v/>
      </c>
      <c r="B361" s="16"/>
      <c r="C361" s="16"/>
      <c r="D361" s="16"/>
      <c r="E361" s="17"/>
      <c r="F361" s="16"/>
      <c r="G361" s="16"/>
      <c r="H361" s="16"/>
      <c r="I361" s="18"/>
      <c r="J361" s="18"/>
      <c r="K361" s="19" t="str">
        <f t="shared" si="16"/>
        <v/>
      </c>
      <c r="L361" s="16"/>
      <c r="M361" s="16"/>
      <c r="N361" s="16"/>
      <c r="O361" s="20" t="str">
        <f t="shared" ca="1" si="17"/>
        <v/>
      </c>
      <c r="P361" s="16"/>
    </row>
    <row r="362" spans="1:16" x14ac:dyDescent="0.3">
      <c r="A362" s="15" t="str">
        <f t="shared" si="15"/>
        <v/>
      </c>
      <c r="B362" s="16"/>
      <c r="C362" s="16"/>
      <c r="D362" s="16"/>
      <c r="E362" s="17"/>
      <c r="F362" s="16"/>
      <c r="G362" s="16"/>
      <c r="H362" s="16"/>
      <c r="I362" s="18"/>
      <c r="J362" s="18"/>
      <c r="K362" s="19" t="str">
        <f t="shared" si="16"/>
        <v/>
      </c>
      <c r="L362" s="16"/>
      <c r="M362" s="16"/>
      <c r="N362" s="16"/>
      <c r="O362" s="20" t="str">
        <f t="shared" ca="1" si="17"/>
        <v/>
      </c>
      <c r="P362" s="16"/>
    </row>
    <row r="363" spans="1:16" x14ac:dyDescent="0.3">
      <c r="A363" s="15" t="str">
        <f t="shared" si="15"/>
        <v/>
      </c>
      <c r="B363" s="16"/>
      <c r="C363" s="16"/>
      <c r="D363" s="16"/>
      <c r="E363" s="17"/>
      <c r="F363" s="16"/>
      <c r="G363" s="16"/>
      <c r="H363" s="16"/>
      <c r="I363" s="18"/>
      <c r="J363" s="18"/>
      <c r="K363" s="19" t="str">
        <f t="shared" si="16"/>
        <v/>
      </c>
      <c r="L363" s="16"/>
      <c r="M363" s="16"/>
      <c r="N363" s="16"/>
      <c r="O363" s="20" t="str">
        <f t="shared" ca="1" si="17"/>
        <v/>
      </c>
      <c r="P363" s="16"/>
    </row>
    <row r="364" spans="1:16" x14ac:dyDescent="0.3">
      <c r="A364" s="15" t="str">
        <f t="shared" si="15"/>
        <v/>
      </c>
      <c r="B364" s="16"/>
      <c r="C364" s="16"/>
      <c r="D364" s="16"/>
      <c r="E364" s="17"/>
      <c r="F364" s="16"/>
      <c r="G364" s="16"/>
      <c r="H364" s="16"/>
      <c r="I364" s="18"/>
      <c r="J364" s="18"/>
      <c r="K364" s="19" t="str">
        <f t="shared" si="16"/>
        <v/>
      </c>
      <c r="L364" s="16"/>
      <c r="M364" s="16"/>
      <c r="N364" s="16"/>
      <c r="O364" s="20" t="str">
        <f t="shared" ca="1" si="17"/>
        <v/>
      </c>
      <c r="P364" s="16"/>
    </row>
    <row r="365" spans="1:16" x14ac:dyDescent="0.3">
      <c r="A365" s="15" t="str">
        <f t="shared" si="15"/>
        <v/>
      </c>
      <c r="B365" s="16"/>
      <c r="C365" s="16"/>
      <c r="D365" s="16"/>
      <c r="E365" s="17"/>
      <c r="F365" s="16"/>
      <c r="G365" s="16"/>
      <c r="H365" s="16"/>
      <c r="I365" s="18"/>
      <c r="J365" s="18"/>
      <c r="K365" s="19" t="str">
        <f t="shared" si="16"/>
        <v/>
      </c>
      <c r="L365" s="16"/>
      <c r="M365" s="16"/>
      <c r="N365" s="16"/>
      <c r="O365" s="20" t="str">
        <f t="shared" ca="1" si="17"/>
        <v/>
      </c>
      <c r="P365" s="16"/>
    </row>
    <row r="366" spans="1:16" x14ac:dyDescent="0.3">
      <c r="A366" s="15" t="str">
        <f t="shared" si="15"/>
        <v/>
      </c>
      <c r="B366" s="16"/>
      <c r="C366" s="16"/>
      <c r="D366" s="16"/>
      <c r="E366" s="17"/>
      <c r="F366" s="16"/>
      <c r="G366" s="16"/>
      <c r="H366" s="16"/>
      <c r="I366" s="18"/>
      <c r="J366" s="18"/>
      <c r="K366" s="19" t="str">
        <f t="shared" si="16"/>
        <v/>
      </c>
      <c r="L366" s="16"/>
      <c r="M366" s="16"/>
      <c r="N366" s="16"/>
      <c r="O366" s="20" t="str">
        <f t="shared" ca="1" si="17"/>
        <v/>
      </c>
      <c r="P366" s="16"/>
    </row>
    <row r="367" spans="1:16" x14ac:dyDescent="0.3">
      <c r="A367" s="15" t="str">
        <f t="shared" si="15"/>
        <v/>
      </c>
      <c r="B367" s="16"/>
      <c r="C367" s="16"/>
      <c r="D367" s="16"/>
      <c r="E367" s="17"/>
      <c r="F367" s="16"/>
      <c r="G367" s="16"/>
      <c r="H367" s="16"/>
      <c r="I367" s="18"/>
      <c r="J367" s="18"/>
      <c r="K367" s="19" t="str">
        <f t="shared" si="16"/>
        <v/>
      </c>
      <c r="L367" s="16"/>
      <c r="M367" s="16"/>
      <c r="N367" s="16"/>
      <c r="O367" s="20" t="str">
        <f t="shared" ca="1" si="17"/>
        <v/>
      </c>
      <c r="P367" s="16"/>
    </row>
    <row r="368" spans="1:16" x14ac:dyDescent="0.3">
      <c r="A368" s="15" t="str">
        <f t="shared" si="15"/>
        <v/>
      </c>
      <c r="B368" s="16"/>
      <c r="C368" s="16"/>
      <c r="D368" s="16"/>
      <c r="E368" s="17"/>
      <c r="F368" s="16"/>
      <c r="G368" s="16"/>
      <c r="H368" s="16"/>
      <c r="I368" s="18"/>
      <c r="J368" s="18"/>
      <c r="K368" s="19" t="str">
        <f t="shared" si="16"/>
        <v/>
      </c>
      <c r="L368" s="16"/>
      <c r="M368" s="16"/>
      <c r="N368" s="16"/>
      <c r="O368" s="20" t="str">
        <f t="shared" ca="1" si="17"/>
        <v/>
      </c>
      <c r="P368" s="16"/>
    </row>
    <row r="369" spans="1:16" x14ac:dyDescent="0.3">
      <c r="A369" s="15" t="str">
        <f t="shared" si="15"/>
        <v/>
      </c>
      <c r="B369" s="16"/>
      <c r="C369" s="16"/>
      <c r="D369" s="16"/>
      <c r="E369" s="17"/>
      <c r="F369" s="16"/>
      <c r="G369" s="16"/>
      <c r="H369" s="16"/>
      <c r="I369" s="18"/>
      <c r="J369" s="18"/>
      <c r="K369" s="19" t="str">
        <f t="shared" si="16"/>
        <v/>
      </c>
      <c r="L369" s="16"/>
      <c r="M369" s="16"/>
      <c r="N369" s="16"/>
      <c r="O369" s="20" t="str">
        <f t="shared" ca="1" si="17"/>
        <v/>
      </c>
      <c r="P369" s="16"/>
    </row>
    <row r="370" spans="1:16" x14ac:dyDescent="0.3">
      <c r="A370" s="15" t="str">
        <f t="shared" si="15"/>
        <v/>
      </c>
      <c r="B370" s="16"/>
      <c r="C370" s="16"/>
      <c r="D370" s="16"/>
      <c r="E370" s="17"/>
      <c r="F370" s="16"/>
      <c r="G370" s="16"/>
      <c r="H370" s="16"/>
      <c r="I370" s="18"/>
      <c r="J370" s="18"/>
      <c r="K370" s="19" t="str">
        <f t="shared" si="16"/>
        <v/>
      </c>
      <c r="L370" s="16"/>
      <c r="M370" s="16"/>
      <c r="N370" s="16"/>
      <c r="O370" s="20" t="str">
        <f t="shared" ca="1" si="17"/>
        <v/>
      </c>
      <c r="P370" s="16"/>
    </row>
    <row r="371" spans="1:16" x14ac:dyDescent="0.3">
      <c r="A371" s="15" t="str">
        <f t="shared" si="15"/>
        <v/>
      </c>
      <c r="B371" s="16"/>
      <c r="C371" s="16"/>
      <c r="D371" s="16"/>
      <c r="E371" s="17"/>
      <c r="F371" s="16"/>
      <c r="G371" s="16"/>
      <c r="H371" s="16"/>
      <c r="I371" s="18"/>
      <c r="J371" s="18"/>
      <c r="K371" s="19" t="str">
        <f t="shared" si="16"/>
        <v/>
      </c>
      <c r="L371" s="16"/>
      <c r="M371" s="16"/>
      <c r="N371" s="16"/>
      <c r="O371" s="20" t="str">
        <f t="shared" ca="1" si="17"/>
        <v/>
      </c>
      <c r="P371" s="16"/>
    </row>
    <row r="372" spans="1:16" x14ac:dyDescent="0.3">
      <c r="A372" s="15" t="str">
        <f t="shared" si="15"/>
        <v/>
      </c>
      <c r="B372" s="16"/>
      <c r="C372" s="16"/>
      <c r="D372" s="16"/>
      <c r="E372" s="17"/>
      <c r="F372" s="16"/>
      <c r="G372" s="16"/>
      <c r="H372" s="16"/>
      <c r="I372" s="18"/>
      <c r="J372" s="18"/>
      <c r="K372" s="19" t="str">
        <f t="shared" si="16"/>
        <v/>
      </c>
      <c r="L372" s="16"/>
      <c r="M372" s="16"/>
      <c r="N372" s="16"/>
      <c r="O372" s="20" t="str">
        <f t="shared" ca="1" si="17"/>
        <v/>
      </c>
      <c r="P372" s="16"/>
    </row>
    <row r="373" spans="1:16" x14ac:dyDescent="0.3">
      <c r="A373" s="15" t="str">
        <f t="shared" si="15"/>
        <v/>
      </c>
      <c r="B373" s="16"/>
      <c r="C373" s="16"/>
      <c r="D373" s="16"/>
      <c r="E373" s="17"/>
      <c r="F373" s="16"/>
      <c r="G373" s="16"/>
      <c r="H373" s="16"/>
      <c r="I373" s="18"/>
      <c r="J373" s="18"/>
      <c r="K373" s="19" t="str">
        <f t="shared" si="16"/>
        <v/>
      </c>
      <c r="L373" s="16"/>
      <c r="M373" s="16"/>
      <c r="N373" s="16"/>
      <c r="O373" s="20" t="str">
        <f t="shared" ca="1" si="17"/>
        <v/>
      </c>
      <c r="P373" s="16"/>
    </row>
    <row r="374" spans="1:16" x14ac:dyDescent="0.3">
      <c r="A374" s="15" t="str">
        <f t="shared" si="15"/>
        <v/>
      </c>
      <c r="B374" s="16"/>
      <c r="C374" s="16"/>
      <c r="D374" s="16"/>
      <c r="E374" s="17"/>
      <c r="F374" s="16"/>
      <c r="G374" s="16"/>
      <c r="H374" s="16"/>
      <c r="I374" s="18"/>
      <c r="J374" s="18"/>
      <c r="K374" s="19" t="str">
        <f t="shared" si="16"/>
        <v/>
      </c>
      <c r="L374" s="16"/>
      <c r="M374" s="16"/>
      <c r="N374" s="16"/>
      <c r="O374" s="20" t="str">
        <f t="shared" ca="1" si="17"/>
        <v/>
      </c>
      <c r="P374" s="16"/>
    </row>
    <row r="375" spans="1:16" x14ac:dyDescent="0.3">
      <c r="A375" s="15" t="str">
        <f t="shared" si="15"/>
        <v/>
      </c>
      <c r="B375" s="16"/>
      <c r="C375" s="16"/>
      <c r="D375" s="16"/>
      <c r="E375" s="17"/>
      <c r="F375" s="16"/>
      <c r="G375" s="16"/>
      <c r="H375" s="16"/>
      <c r="I375" s="18"/>
      <c r="J375" s="18"/>
      <c r="K375" s="19" t="str">
        <f t="shared" si="16"/>
        <v/>
      </c>
      <c r="L375" s="16"/>
      <c r="M375" s="16"/>
      <c r="N375" s="16"/>
      <c r="O375" s="20" t="str">
        <f t="shared" ca="1" si="17"/>
        <v/>
      </c>
      <c r="P375" s="16"/>
    </row>
    <row r="376" spans="1:16" x14ac:dyDescent="0.3">
      <c r="A376" s="15" t="str">
        <f t="shared" si="15"/>
        <v/>
      </c>
      <c r="B376" s="16"/>
      <c r="C376" s="16"/>
      <c r="D376" s="16"/>
      <c r="E376" s="17"/>
      <c r="F376" s="16"/>
      <c r="G376" s="16"/>
      <c r="H376" s="16"/>
      <c r="I376" s="18"/>
      <c r="J376" s="18"/>
      <c r="K376" s="19" t="str">
        <f t="shared" si="16"/>
        <v/>
      </c>
      <c r="L376" s="16"/>
      <c r="M376" s="16"/>
      <c r="N376" s="16"/>
      <c r="O376" s="20" t="str">
        <f t="shared" ca="1" si="17"/>
        <v/>
      </c>
      <c r="P376" s="16"/>
    </row>
    <row r="377" spans="1:16" x14ac:dyDescent="0.3">
      <c r="A377" s="15" t="str">
        <f t="shared" si="15"/>
        <v/>
      </c>
      <c r="B377" s="16"/>
      <c r="C377" s="16"/>
      <c r="D377" s="16"/>
      <c r="E377" s="17"/>
      <c r="F377" s="16"/>
      <c r="G377" s="16"/>
      <c r="H377" s="16"/>
      <c r="I377" s="18"/>
      <c r="J377" s="18"/>
      <c r="K377" s="19" t="str">
        <f t="shared" si="16"/>
        <v/>
      </c>
      <c r="L377" s="16"/>
      <c r="M377" s="16"/>
      <c r="N377" s="16"/>
      <c r="O377" s="20" t="str">
        <f t="shared" ca="1" si="17"/>
        <v/>
      </c>
      <c r="P377" s="16"/>
    </row>
    <row r="378" spans="1:16" x14ac:dyDescent="0.3">
      <c r="A378" s="15" t="str">
        <f t="shared" si="15"/>
        <v/>
      </c>
      <c r="B378" s="16"/>
      <c r="C378" s="16"/>
      <c r="D378" s="16"/>
      <c r="E378" s="17"/>
      <c r="F378" s="16"/>
      <c r="G378" s="16"/>
      <c r="H378" s="16"/>
      <c r="I378" s="18"/>
      <c r="J378" s="18"/>
      <c r="K378" s="19" t="str">
        <f t="shared" si="16"/>
        <v/>
      </c>
      <c r="L378" s="16"/>
      <c r="M378" s="16"/>
      <c r="N378" s="16"/>
      <c r="O378" s="20" t="str">
        <f t="shared" ca="1" si="17"/>
        <v/>
      </c>
      <c r="P378" s="16"/>
    </row>
    <row r="379" spans="1:16" x14ac:dyDescent="0.3">
      <c r="A379" s="15" t="str">
        <f t="shared" si="15"/>
        <v/>
      </c>
      <c r="B379" s="16"/>
      <c r="C379" s="16"/>
      <c r="D379" s="16"/>
      <c r="E379" s="17"/>
      <c r="F379" s="16"/>
      <c r="G379" s="16"/>
      <c r="H379" s="16"/>
      <c r="I379" s="18"/>
      <c r="J379" s="18"/>
      <c r="K379" s="19" t="str">
        <f t="shared" si="16"/>
        <v/>
      </c>
      <c r="L379" s="16"/>
      <c r="M379" s="16"/>
      <c r="N379" s="16"/>
      <c r="O379" s="20" t="str">
        <f t="shared" ca="1" si="17"/>
        <v/>
      </c>
      <c r="P379" s="16"/>
    </row>
    <row r="380" spans="1:16" x14ac:dyDescent="0.3">
      <c r="A380" s="15" t="str">
        <f t="shared" si="15"/>
        <v/>
      </c>
      <c r="B380" s="16"/>
      <c r="C380" s="16"/>
      <c r="D380" s="16"/>
      <c r="E380" s="17"/>
      <c r="F380" s="16"/>
      <c r="G380" s="16"/>
      <c r="H380" s="16"/>
      <c r="I380" s="18"/>
      <c r="J380" s="18"/>
      <c r="K380" s="19" t="str">
        <f t="shared" si="16"/>
        <v/>
      </c>
      <c r="L380" s="16"/>
      <c r="M380" s="16"/>
      <c r="N380" s="16"/>
      <c r="O380" s="20" t="str">
        <f t="shared" ca="1" si="17"/>
        <v/>
      </c>
      <c r="P380" s="16"/>
    </row>
    <row r="381" spans="1:16" x14ac:dyDescent="0.3">
      <c r="A381" s="15" t="str">
        <f t="shared" si="15"/>
        <v/>
      </c>
      <c r="B381" s="16"/>
      <c r="C381" s="16"/>
      <c r="D381" s="16"/>
      <c r="E381" s="17"/>
      <c r="F381" s="16"/>
      <c r="G381" s="16"/>
      <c r="H381" s="16"/>
      <c r="I381" s="18"/>
      <c r="J381" s="18"/>
      <c r="K381" s="19" t="str">
        <f t="shared" si="16"/>
        <v/>
      </c>
      <c r="L381" s="16"/>
      <c r="M381" s="16"/>
      <c r="N381" s="16"/>
      <c r="O381" s="20" t="str">
        <f t="shared" ca="1" si="17"/>
        <v/>
      </c>
      <c r="P381" s="16"/>
    </row>
    <row r="382" spans="1:16" x14ac:dyDescent="0.3">
      <c r="A382" s="15" t="str">
        <f t="shared" si="15"/>
        <v/>
      </c>
      <c r="B382" s="16"/>
      <c r="C382" s="16"/>
      <c r="D382" s="16"/>
      <c r="E382" s="17"/>
      <c r="F382" s="16"/>
      <c r="G382" s="16"/>
      <c r="H382" s="16"/>
      <c r="I382" s="18"/>
      <c r="J382" s="18"/>
      <c r="K382" s="19" t="str">
        <f t="shared" si="16"/>
        <v/>
      </c>
      <c r="L382" s="16"/>
      <c r="M382" s="16"/>
      <c r="N382" s="16"/>
      <c r="O382" s="20" t="str">
        <f t="shared" ca="1" si="17"/>
        <v/>
      </c>
      <c r="P382" s="16"/>
    </row>
    <row r="383" spans="1:16" x14ac:dyDescent="0.3">
      <c r="A383" s="15" t="str">
        <f t="shared" si="15"/>
        <v/>
      </c>
      <c r="B383" s="16"/>
      <c r="C383" s="16"/>
      <c r="D383" s="16"/>
      <c r="E383" s="17"/>
      <c r="F383" s="16"/>
      <c r="G383" s="16"/>
      <c r="H383" s="16"/>
      <c r="I383" s="18"/>
      <c r="J383" s="18"/>
      <c r="K383" s="19" t="str">
        <f t="shared" si="16"/>
        <v/>
      </c>
      <c r="L383" s="16"/>
      <c r="M383" s="16"/>
      <c r="N383" s="16"/>
      <c r="O383" s="20" t="str">
        <f t="shared" ca="1" si="17"/>
        <v/>
      </c>
      <c r="P383" s="16"/>
    </row>
    <row r="384" spans="1:16" x14ac:dyDescent="0.3">
      <c r="A384" s="15" t="str">
        <f t="shared" si="15"/>
        <v/>
      </c>
      <c r="B384" s="16"/>
      <c r="C384" s="16"/>
      <c r="D384" s="16"/>
      <c r="E384" s="17"/>
      <c r="F384" s="16"/>
      <c r="G384" s="16"/>
      <c r="H384" s="16"/>
      <c r="I384" s="18"/>
      <c r="J384" s="18"/>
      <c r="K384" s="19" t="str">
        <f t="shared" si="16"/>
        <v/>
      </c>
      <c r="L384" s="16"/>
      <c r="M384" s="16"/>
      <c r="N384" s="16"/>
      <c r="O384" s="20" t="str">
        <f t="shared" ca="1" si="17"/>
        <v/>
      </c>
      <c r="P384" s="16"/>
    </row>
    <row r="385" spans="1:16" x14ac:dyDescent="0.3">
      <c r="A385" s="15" t="str">
        <f t="shared" si="15"/>
        <v/>
      </c>
      <c r="B385" s="16"/>
      <c r="C385" s="16"/>
      <c r="D385" s="16"/>
      <c r="E385" s="17"/>
      <c r="F385" s="16"/>
      <c r="G385" s="16"/>
      <c r="H385" s="16"/>
      <c r="I385" s="18"/>
      <c r="J385" s="18"/>
      <c r="K385" s="19" t="str">
        <f t="shared" si="16"/>
        <v/>
      </c>
      <c r="L385" s="16"/>
      <c r="M385" s="16"/>
      <c r="N385" s="16"/>
      <c r="O385" s="20" t="str">
        <f t="shared" ca="1" si="17"/>
        <v/>
      </c>
      <c r="P385" s="16"/>
    </row>
    <row r="386" spans="1:16" x14ac:dyDescent="0.3">
      <c r="A386" s="15" t="str">
        <f t="shared" ref="A386:A449" si="18">IF(B386="","","JOB-"&amp;TEXT(ROW()-1,"0000"))</f>
        <v/>
      </c>
      <c r="B386" s="16"/>
      <c r="C386" s="16"/>
      <c r="D386" s="16"/>
      <c r="E386" s="17"/>
      <c r="F386" s="16"/>
      <c r="G386" s="16"/>
      <c r="H386" s="16"/>
      <c r="I386" s="18"/>
      <c r="J386" s="18"/>
      <c r="K386" s="19" t="str">
        <f t="shared" ref="K386:K449" si="19">IF(B386="","",IF(H386="paid",0,MAX(0,I386-J386)))</f>
        <v/>
      </c>
      <c r="L386" s="16"/>
      <c r="M386" s="16"/>
      <c r="N386" s="16"/>
      <c r="O386" s="20" t="str">
        <f t="shared" ref="O386:O449" ca="1" si="20">IF(B386="","",TODAY())</f>
        <v/>
      </c>
      <c r="P386" s="16"/>
    </row>
    <row r="387" spans="1:16" x14ac:dyDescent="0.3">
      <c r="A387" s="15" t="str">
        <f t="shared" si="18"/>
        <v/>
      </c>
      <c r="B387" s="16"/>
      <c r="C387" s="16"/>
      <c r="D387" s="16"/>
      <c r="E387" s="17"/>
      <c r="F387" s="16"/>
      <c r="G387" s="16"/>
      <c r="H387" s="16"/>
      <c r="I387" s="18"/>
      <c r="J387" s="18"/>
      <c r="K387" s="19" t="str">
        <f t="shared" si="19"/>
        <v/>
      </c>
      <c r="L387" s="16"/>
      <c r="M387" s="16"/>
      <c r="N387" s="16"/>
      <c r="O387" s="20" t="str">
        <f t="shared" ca="1" si="20"/>
        <v/>
      </c>
      <c r="P387" s="16"/>
    </row>
    <row r="388" spans="1:16" x14ac:dyDescent="0.3">
      <c r="A388" s="15" t="str">
        <f t="shared" si="18"/>
        <v/>
      </c>
      <c r="B388" s="16"/>
      <c r="C388" s="16"/>
      <c r="D388" s="16"/>
      <c r="E388" s="17"/>
      <c r="F388" s="16"/>
      <c r="G388" s="16"/>
      <c r="H388" s="16"/>
      <c r="I388" s="18"/>
      <c r="J388" s="18"/>
      <c r="K388" s="19" t="str">
        <f t="shared" si="19"/>
        <v/>
      </c>
      <c r="L388" s="16"/>
      <c r="M388" s="16"/>
      <c r="N388" s="16"/>
      <c r="O388" s="20" t="str">
        <f t="shared" ca="1" si="20"/>
        <v/>
      </c>
      <c r="P388" s="16"/>
    </row>
    <row r="389" spans="1:16" x14ac:dyDescent="0.3">
      <c r="A389" s="15" t="str">
        <f t="shared" si="18"/>
        <v/>
      </c>
      <c r="B389" s="16"/>
      <c r="C389" s="16"/>
      <c r="D389" s="16"/>
      <c r="E389" s="17"/>
      <c r="F389" s="16"/>
      <c r="G389" s="16"/>
      <c r="H389" s="16"/>
      <c r="I389" s="18"/>
      <c r="J389" s="18"/>
      <c r="K389" s="19" t="str">
        <f t="shared" si="19"/>
        <v/>
      </c>
      <c r="L389" s="16"/>
      <c r="M389" s="16"/>
      <c r="N389" s="16"/>
      <c r="O389" s="20" t="str">
        <f t="shared" ca="1" si="20"/>
        <v/>
      </c>
      <c r="P389" s="16"/>
    </row>
    <row r="390" spans="1:16" x14ac:dyDescent="0.3">
      <c r="A390" s="15" t="str">
        <f t="shared" si="18"/>
        <v/>
      </c>
      <c r="B390" s="16"/>
      <c r="C390" s="16"/>
      <c r="D390" s="16"/>
      <c r="E390" s="17"/>
      <c r="F390" s="16"/>
      <c r="G390" s="16"/>
      <c r="H390" s="16"/>
      <c r="I390" s="18"/>
      <c r="J390" s="18"/>
      <c r="K390" s="19" t="str">
        <f t="shared" si="19"/>
        <v/>
      </c>
      <c r="L390" s="16"/>
      <c r="M390" s="16"/>
      <c r="N390" s="16"/>
      <c r="O390" s="20" t="str">
        <f t="shared" ca="1" si="20"/>
        <v/>
      </c>
      <c r="P390" s="16"/>
    </row>
    <row r="391" spans="1:16" x14ac:dyDescent="0.3">
      <c r="A391" s="15" t="str">
        <f t="shared" si="18"/>
        <v/>
      </c>
      <c r="B391" s="16"/>
      <c r="C391" s="16"/>
      <c r="D391" s="16"/>
      <c r="E391" s="17"/>
      <c r="F391" s="16"/>
      <c r="G391" s="16"/>
      <c r="H391" s="16"/>
      <c r="I391" s="18"/>
      <c r="J391" s="18"/>
      <c r="K391" s="19" t="str">
        <f t="shared" si="19"/>
        <v/>
      </c>
      <c r="L391" s="16"/>
      <c r="M391" s="16"/>
      <c r="N391" s="16"/>
      <c r="O391" s="20" t="str">
        <f t="shared" ca="1" si="20"/>
        <v/>
      </c>
      <c r="P391" s="16"/>
    </row>
    <row r="392" spans="1:16" x14ac:dyDescent="0.3">
      <c r="A392" s="15" t="str">
        <f t="shared" si="18"/>
        <v/>
      </c>
      <c r="B392" s="16"/>
      <c r="C392" s="16"/>
      <c r="D392" s="16"/>
      <c r="E392" s="17"/>
      <c r="F392" s="16"/>
      <c r="G392" s="16"/>
      <c r="H392" s="16"/>
      <c r="I392" s="18"/>
      <c r="J392" s="18"/>
      <c r="K392" s="19" t="str">
        <f t="shared" si="19"/>
        <v/>
      </c>
      <c r="L392" s="16"/>
      <c r="M392" s="16"/>
      <c r="N392" s="16"/>
      <c r="O392" s="20" t="str">
        <f t="shared" ca="1" si="20"/>
        <v/>
      </c>
      <c r="P392" s="16"/>
    </row>
    <row r="393" spans="1:16" x14ac:dyDescent="0.3">
      <c r="A393" s="15" t="str">
        <f t="shared" si="18"/>
        <v/>
      </c>
      <c r="B393" s="16"/>
      <c r="C393" s="16"/>
      <c r="D393" s="16"/>
      <c r="E393" s="17"/>
      <c r="F393" s="16"/>
      <c r="G393" s="16"/>
      <c r="H393" s="16"/>
      <c r="I393" s="18"/>
      <c r="J393" s="18"/>
      <c r="K393" s="19" t="str">
        <f t="shared" si="19"/>
        <v/>
      </c>
      <c r="L393" s="16"/>
      <c r="M393" s="16"/>
      <c r="N393" s="16"/>
      <c r="O393" s="20" t="str">
        <f t="shared" ca="1" si="20"/>
        <v/>
      </c>
      <c r="P393" s="16"/>
    </row>
    <row r="394" spans="1:16" x14ac:dyDescent="0.3">
      <c r="A394" s="15" t="str">
        <f t="shared" si="18"/>
        <v/>
      </c>
      <c r="B394" s="16"/>
      <c r="C394" s="16"/>
      <c r="D394" s="16"/>
      <c r="E394" s="17"/>
      <c r="F394" s="16"/>
      <c r="G394" s="16"/>
      <c r="H394" s="16"/>
      <c r="I394" s="18"/>
      <c r="J394" s="18"/>
      <c r="K394" s="19" t="str">
        <f t="shared" si="19"/>
        <v/>
      </c>
      <c r="L394" s="16"/>
      <c r="M394" s="16"/>
      <c r="N394" s="16"/>
      <c r="O394" s="20" t="str">
        <f t="shared" ca="1" si="20"/>
        <v/>
      </c>
      <c r="P394" s="16"/>
    </row>
    <row r="395" spans="1:16" x14ac:dyDescent="0.3">
      <c r="A395" s="15" t="str">
        <f t="shared" si="18"/>
        <v/>
      </c>
      <c r="B395" s="16"/>
      <c r="C395" s="16"/>
      <c r="D395" s="16"/>
      <c r="E395" s="17"/>
      <c r="F395" s="16"/>
      <c r="G395" s="16"/>
      <c r="H395" s="16"/>
      <c r="I395" s="18"/>
      <c r="J395" s="18"/>
      <c r="K395" s="19" t="str">
        <f t="shared" si="19"/>
        <v/>
      </c>
      <c r="L395" s="16"/>
      <c r="M395" s="16"/>
      <c r="N395" s="16"/>
      <c r="O395" s="20" t="str">
        <f t="shared" ca="1" si="20"/>
        <v/>
      </c>
      <c r="P395" s="16"/>
    </row>
    <row r="396" spans="1:16" x14ac:dyDescent="0.3">
      <c r="A396" s="15" t="str">
        <f t="shared" si="18"/>
        <v/>
      </c>
      <c r="B396" s="16"/>
      <c r="C396" s="16"/>
      <c r="D396" s="16"/>
      <c r="E396" s="17"/>
      <c r="F396" s="16"/>
      <c r="G396" s="16"/>
      <c r="H396" s="16"/>
      <c r="I396" s="18"/>
      <c r="J396" s="18"/>
      <c r="K396" s="19" t="str">
        <f t="shared" si="19"/>
        <v/>
      </c>
      <c r="L396" s="16"/>
      <c r="M396" s="16"/>
      <c r="N396" s="16"/>
      <c r="O396" s="20" t="str">
        <f t="shared" ca="1" si="20"/>
        <v/>
      </c>
      <c r="P396" s="16"/>
    </row>
    <row r="397" spans="1:16" x14ac:dyDescent="0.3">
      <c r="A397" s="15" t="str">
        <f t="shared" si="18"/>
        <v/>
      </c>
      <c r="B397" s="16"/>
      <c r="C397" s="16"/>
      <c r="D397" s="16"/>
      <c r="E397" s="17"/>
      <c r="F397" s="16"/>
      <c r="G397" s="16"/>
      <c r="H397" s="16"/>
      <c r="I397" s="18"/>
      <c r="J397" s="18"/>
      <c r="K397" s="19" t="str">
        <f t="shared" si="19"/>
        <v/>
      </c>
      <c r="L397" s="16"/>
      <c r="M397" s="16"/>
      <c r="N397" s="16"/>
      <c r="O397" s="20" t="str">
        <f t="shared" ca="1" si="20"/>
        <v/>
      </c>
      <c r="P397" s="16"/>
    </row>
    <row r="398" spans="1:16" x14ac:dyDescent="0.3">
      <c r="A398" s="15" t="str">
        <f t="shared" si="18"/>
        <v/>
      </c>
      <c r="B398" s="16"/>
      <c r="C398" s="16"/>
      <c r="D398" s="16"/>
      <c r="E398" s="17"/>
      <c r="F398" s="16"/>
      <c r="G398" s="16"/>
      <c r="H398" s="16"/>
      <c r="I398" s="18"/>
      <c r="J398" s="18"/>
      <c r="K398" s="19" t="str">
        <f t="shared" si="19"/>
        <v/>
      </c>
      <c r="L398" s="16"/>
      <c r="M398" s="16"/>
      <c r="N398" s="16"/>
      <c r="O398" s="20" t="str">
        <f t="shared" ca="1" si="20"/>
        <v/>
      </c>
      <c r="P398" s="16"/>
    </row>
    <row r="399" spans="1:16" x14ac:dyDescent="0.3">
      <c r="A399" s="15" t="str">
        <f t="shared" si="18"/>
        <v/>
      </c>
      <c r="B399" s="16"/>
      <c r="C399" s="16"/>
      <c r="D399" s="16"/>
      <c r="E399" s="17"/>
      <c r="F399" s="16"/>
      <c r="G399" s="16"/>
      <c r="H399" s="16"/>
      <c r="I399" s="18"/>
      <c r="J399" s="18"/>
      <c r="K399" s="19" t="str">
        <f t="shared" si="19"/>
        <v/>
      </c>
      <c r="L399" s="16"/>
      <c r="M399" s="16"/>
      <c r="N399" s="16"/>
      <c r="O399" s="20" t="str">
        <f t="shared" ca="1" si="20"/>
        <v/>
      </c>
      <c r="P399" s="16"/>
    </row>
    <row r="400" spans="1:16" x14ac:dyDescent="0.3">
      <c r="A400" s="15" t="str">
        <f t="shared" si="18"/>
        <v/>
      </c>
      <c r="B400" s="16"/>
      <c r="C400" s="16"/>
      <c r="D400" s="16"/>
      <c r="E400" s="17"/>
      <c r="F400" s="16"/>
      <c r="G400" s="16"/>
      <c r="H400" s="16"/>
      <c r="I400" s="18"/>
      <c r="J400" s="18"/>
      <c r="K400" s="19" t="str">
        <f t="shared" si="19"/>
        <v/>
      </c>
      <c r="L400" s="16"/>
      <c r="M400" s="16"/>
      <c r="N400" s="16"/>
      <c r="O400" s="20" t="str">
        <f t="shared" ca="1" si="20"/>
        <v/>
      </c>
      <c r="P400" s="16"/>
    </row>
    <row r="401" spans="1:16" x14ac:dyDescent="0.3">
      <c r="A401" s="15" t="str">
        <f t="shared" si="18"/>
        <v/>
      </c>
      <c r="B401" s="16"/>
      <c r="C401" s="16"/>
      <c r="D401" s="16"/>
      <c r="E401" s="17"/>
      <c r="F401" s="16"/>
      <c r="G401" s="16"/>
      <c r="H401" s="16"/>
      <c r="I401" s="18"/>
      <c r="J401" s="18"/>
      <c r="K401" s="19" t="str">
        <f t="shared" si="19"/>
        <v/>
      </c>
      <c r="L401" s="16"/>
      <c r="M401" s="16"/>
      <c r="N401" s="16"/>
      <c r="O401" s="20" t="str">
        <f t="shared" ca="1" si="20"/>
        <v/>
      </c>
      <c r="P401" s="16"/>
    </row>
    <row r="402" spans="1:16" x14ac:dyDescent="0.3">
      <c r="A402" s="15" t="str">
        <f t="shared" si="18"/>
        <v/>
      </c>
      <c r="B402" s="16"/>
      <c r="C402" s="16"/>
      <c r="D402" s="16"/>
      <c r="E402" s="17"/>
      <c r="F402" s="16"/>
      <c r="G402" s="16"/>
      <c r="H402" s="16"/>
      <c r="I402" s="18"/>
      <c r="J402" s="18"/>
      <c r="K402" s="19" t="str">
        <f t="shared" si="19"/>
        <v/>
      </c>
      <c r="L402" s="16"/>
      <c r="M402" s="16"/>
      <c r="N402" s="16"/>
      <c r="O402" s="20" t="str">
        <f t="shared" ca="1" si="20"/>
        <v/>
      </c>
      <c r="P402" s="16"/>
    </row>
    <row r="403" spans="1:16" x14ac:dyDescent="0.3">
      <c r="A403" s="15" t="str">
        <f t="shared" si="18"/>
        <v/>
      </c>
      <c r="B403" s="16"/>
      <c r="C403" s="16"/>
      <c r="D403" s="16"/>
      <c r="E403" s="17"/>
      <c r="F403" s="16"/>
      <c r="G403" s="16"/>
      <c r="H403" s="16"/>
      <c r="I403" s="18"/>
      <c r="J403" s="18"/>
      <c r="K403" s="19" t="str">
        <f t="shared" si="19"/>
        <v/>
      </c>
      <c r="L403" s="16"/>
      <c r="M403" s="16"/>
      <c r="N403" s="16"/>
      <c r="O403" s="20" t="str">
        <f t="shared" ca="1" si="20"/>
        <v/>
      </c>
      <c r="P403" s="16"/>
    </row>
    <row r="404" spans="1:16" x14ac:dyDescent="0.3">
      <c r="A404" s="15" t="str">
        <f t="shared" si="18"/>
        <v/>
      </c>
      <c r="B404" s="16"/>
      <c r="C404" s="16"/>
      <c r="D404" s="16"/>
      <c r="E404" s="17"/>
      <c r="F404" s="16"/>
      <c r="G404" s="16"/>
      <c r="H404" s="16"/>
      <c r="I404" s="18"/>
      <c r="J404" s="18"/>
      <c r="K404" s="19" t="str">
        <f t="shared" si="19"/>
        <v/>
      </c>
      <c r="L404" s="16"/>
      <c r="M404" s="16"/>
      <c r="N404" s="16"/>
      <c r="O404" s="20" t="str">
        <f t="shared" ca="1" si="20"/>
        <v/>
      </c>
      <c r="P404" s="16"/>
    </row>
    <row r="405" spans="1:16" x14ac:dyDescent="0.3">
      <c r="A405" s="15" t="str">
        <f t="shared" si="18"/>
        <v/>
      </c>
      <c r="B405" s="16"/>
      <c r="C405" s="16"/>
      <c r="D405" s="16"/>
      <c r="E405" s="17"/>
      <c r="F405" s="16"/>
      <c r="G405" s="16"/>
      <c r="H405" s="16"/>
      <c r="I405" s="18"/>
      <c r="J405" s="18"/>
      <c r="K405" s="19" t="str">
        <f t="shared" si="19"/>
        <v/>
      </c>
      <c r="L405" s="16"/>
      <c r="M405" s="16"/>
      <c r="N405" s="16"/>
      <c r="O405" s="20" t="str">
        <f t="shared" ca="1" si="20"/>
        <v/>
      </c>
      <c r="P405" s="16"/>
    </row>
    <row r="406" spans="1:16" x14ac:dyDescent="0.3">
      <c r="A406" s="15" t="str">
        <f t="shared" si="18"/>
        <v/>
      </c>
      <c r="B406" s="16"/>
      <c r="C406" s="16"/>
      <c r="D406" s="16"/>
      <c r="E406" s="17"/>
      <c r="F406" s="16"/>
      <c r="G406" s="16"/>
      <c r="H406" s="16"/>
      <c r="I406" s="18"/>
      <c r="J406" s="18"/>
      <c r="K406" s="19" t="str">
        <f t="shared" si="19"/>
        <v/>
      </c>
      <c r="L406" s="16"/>
      <c r="M406" s="16"/>
      <c r="N406" s="16"/>
      <c r="O406" s="20" t="str">
        <f t="shared" ca="1" si="20"/>
        <v/>
      </c>
      <c r="P406" s="16"/>
    </row>
    <row r="407" spans="1:16" x14ac:dyDescent="0.3">
      <c r="A407" s="15" t="str">
        <f t="shared" si="18"/>
        <v/>
      </c>
      <c r="B407" s="16"/>
      <c r="C407" s="16"/>
      <c r="D407" s="16"/>
      <c r="E407" s="17"/>
      <c r="F407" s="16"/>
      <c r="G407" s="16"/>
      <c r="H407" s="16"/>
      <c r="I407" s="18"/>
      <c r="J407" s="18"/>
      <c r="K407" s="19" t="str">
        <f t="shared" si="19"/>
        <v/>
      </c>
      <c r="L407" s="16"/>
      <c r="M407" s="16"/>
      <c r="N407" s="16"/>
      <c r="O407" s="20" t="str">
        <f t="shared" ca="1" si="20"/>
        <v/>
      </c>
      <c r="P407" s="16"/>
    </row>
    <row r="408" spans="1:16" x14ac:dyDescent="0.3">
      <c r="A408" s="15" t="str">
        <f t="shared" si="18"/>
        <v/>
      </c>
      <c r="B408" s="16"/>
      <c r="C408" s="16"/>
      <c r="D408" s="16"/>
      <c r="E408" s="17"/>
      <c r="F408" s="16"/>
      <c r="G408" s="16"/>
      <c r="H408" s="16"/>
      <c r="I408" s="18"/>
      <c r="J408" s="18"/>
      <c r="K408" s="19" t="str">
        <f t="shared" si="19"/>
        <v/>
      </c>
      <c r="L408" s="16"/>
      <c r="M408" s="16"/>
      <c r="N408" s="16"/>
      <c r="O408" s="20" t="str">
        <f t="shared" ca="1" si="20"/>
        <v/>
      </c>
      <c r="P408" s="16"/>
    </row>
    <row r="409" spans="1:16" x14ac:dyDescent="0.3">
      <c r="A409" s="15" t="str">
        <f t="shared" si="18"/>
        <v/>
      </c>
      <c r="B409" s="16"/>
      <c r="C409" s="16"/>
      <c r="D409" s="16"/>
      <c r="E409" s="17"/>
      <c r="F409" s="16"/>
      <c r="G409" s="16"/>
      <c r="H409" s="16"/>
      <c r="I409" s="18"/>
      <c r="J409" s="18"/>
      <c r="K409" s="19" t="str">
        <f t="shared" si="19"/>
        <v/>
      </c>
      <c r="L409" s="16"/>
      <c r="M409" s="16"/>
      <c r="N409" s="16"/>
      <c r="O409" s="20" t="str">
        <f t="shared" ca="1" si="20"/>
        <v/>
      </c>
      <c r="P409" s="16"/>
    </row>
    <row r="410" spans="1:16" x14ac:dyDescent="0.3">
      <c r="A410" s="15" t="str">
        <f t="shared" si="18"/>
        <v/>
      </c>
      <c r="B410" s="16"/>
      <c r="C410" s="16"/>
      <c r="D410" s="16"/>
      <c r="E410" s="17"/>
      <c r="F410" s="16"/>
      <c r="G410" s="16"/>
      <c r="H410" s="16"/>
      <c r="I410" s="18"/>
      <c r="J410" s="18"/>
      <c r="K410" s="19" t="str">
        <f t="shared" si="19"/>
        <v/>
      </c>
      <c r="L410" s="16"/>
      <c r="M410" s="16"/>
      <c r="N410" s="16"/>
      <c r="O410" s="20" t="str">
        <f t="shared" ca="1" si="20"/>
        <v/>
      </c>
      <c r="P410" s="16"/>
    </row>
    <row r="411" spans="1:16" x14ac:dyDescent="0.3">
      <c r="A411" s="15" t="str">
        <f t="shared" si="18"/>
        <v/>
      </c>
      <c r="B411" s="16"/>
      <c r="C411" s="16"/>
      <c r="D411" s="16"/>
      <c r="E411" s="17"/>
      <c r="F411" s="16"/>
      <c r="G411" s="16"/>
      <c r="H411" s="16"/>
      <c r="I411" s="18"/>
      <c r="J411" s="18"/>
      <c r="K411" s="19" t="str">
        <f t="shared" si="19"/>
        <v/>
      </c>
      <c r="L411" s="16"/>
      <c r="M411" s="16"/>
      <c r="N411" s="16"/>
      <c r="O411" s="20" t="str">
        <f t="shared" ca="1" si="20"/>
        <v/>
      </c>
      <c r="P411" s="16"/>
    </row>
    <row r="412" spans="1:16" x14ac:dyDescent="0.3">
      <c r="A412" s="15" t="str">
        <f t="shared" si="18"/>
        <v/>
      </c>
      <c r="B412" s="16"/>
      <c r="C412" s="16"/>
      <c r="D412" s="16"/>
      <c r="E412" s="17"/>
      <c r="F412" s="16"/>
      <c r="G412" s="16"/>
      <c r="H412" s="16"/>
      <c r="I412" s="18"/>
      <c r="J412" s="18"/>
      <c r="K412" s="19" t="str">
        <f t="shared" si="19"/>
        <v/>
      </c>
      <c r="L412" s="16"/>
      <c r="M412" s="16"/>
      <c r="N412" s="16"/>
      <c r="O412" s="20" t="str">
        <f t="shared" ca="1" si="20"/>
        <v/>
      </c>
      <c r="P412" s="16"/>
    </row>
    <row r="413" spans="1:16" x14ac:dyDescent="0.3">
      <c r="A413" s="15" t="str">
        <f t="shared" si="18"/>
        <v/>
      </c>
      <c r="B413" s="16"/>
      <c r="C413" s="16"/>
      <c r="D413" s="16"/>
      <c r="E413" s="17"/>
      <c r="F413" s="16"/>
      <c r="G413" s="16"/>
      <c r="H413" s="16"/>
      <c r="I413" s="18"/>
      <c r="J413" s="18"/>
      <c r="K413" s="19" t="str">
        <f t="shared" si="19"/>
        <v/>
      </c>
      <c r="L413" s="16"/>
      <c r="M413" s="16"/>
      <c r="N413" s="16"/>
      <c r="O413" s="20" t="str">
        <f t="shared" ca="1" si="20"/>
        <v/>
      </c>
      <c r="P413" s="16"/>
    </row>
    <row r="414" spans="1:16" x14ac:dyDescent="0.3">
      <c r="A414" s="15" t="str">
        <f t="shared" si="18"/>
        <v/>
      </c>
      <c r="B414" s="16"/>
      <c r="C414" s="16"/>
      <c r="D414" s="16"/>
      <c r="E414" s="17"/>
      <c r="F414" s="16"/>
      <c r="G414" s="16"/>
      <c r="H414" s="16"/>
      <c r="I414" s="18"/>
      <c r="J414" s="18"/>
      <c r="K414" s="19" t="str">
        <f t="shared" si="19"/>
        <v/>
      </c>
      <c r="L414" s="16"/>
      <c r="M414" s="16"/>
      <c r="N414" s="16"/>
      <c r="O414" s="20" t="str">
        <f t="shared" ca="1" si="20"/>
        <v/>
      </c>
      <c r="P414" s="16"/>
    </row>
    <row r="415" spans="1:16" x14ac:dyDescent="0.3">
      <c r="A415" s="15" t="str">
        <f t="shared" si="18"/>
        <v/>
      </c>
      <c r="B415" s="16"/>
      <c r="C415" s="16"/>
      <c r="D415" s="16"/>
      <c r="E415" s="17"/>
      <c r="F415" s="16"/>
      <c r="G415" s="16"/>
      <c r="H415" s="16"/>
      <c r="I415" s="18"/>
      <c r="J415" s="18"/>
      <c r="K415" s="19" t="str">
        <f t="shared" si="19"/>
        <v/>
      </c>
      <c r="L415" s="16"/>
      <c r="M415" s="16"/>
      <c r="N415" s="16"/>
      <c r="O415" s="20" t="str">
        <f t="shared" ca="1" si="20"/>
        <v/>
      </c>
      <c r="P415" s="16"/>
    </row>
    <row r="416" spans="1:16" x14ac:dyDescent="0.3">
      <c r="A416" s="15" t="str">
        <f t="shared" si="18"/>
        <v/>
      </c>
      <c r="B416" s="16"/>
      <c r="C416" s="16"/>
      <c r="D416" s="16"/>
      <c r="E416" s="17"/>
      <c r="F416" s="16"/>
      <c r="G416" s="16"/>
      <c r="H416" s="16"/>
      <c r="I416" s="18"/>
      <c r="J416" s="18"/>
      <c r="K416" s="19" t="str">
        <f t="shared" si="19"/>
        <v/>
      </c>
      <c r="L416" s="16"/>
      <c r="M416" s="16"/>
      <c r="N416" s="16"/>
      <c r="O416" s="20" t="str">
        <f t="shared" ca="1" si="20"/>
        <v/>
      </c>
      <c r="P416" s="16"/>
    </row>
    <row r="417" spans="1:16" x14ac:dyDescent="0.3">
      <c r="A417" s="15" t="str">
        <f t="shared" si="18"/>
        <v/>
      </c>
      <c r="B417" s="16"/>
      <c r="C417" s="16"/>
      <c r="D417" s="16"/>
      <c r="E417" s="17"/>
      <c r="F417" s="16"/>
      <c r="G417" s="16"/>
      <c r="H417" s="16"/>
      <c r="I417" s="18"/>
      <c r="J417" s="18"/>
      <c r="K417" s="19" t="str">
        <f t="shared" si="19"/>
        <v/>
      </c>
      <c r="L417" s="16"/>
      <c r="M417" s="16"/>
      <c r="N417" s="16"/>
      <c r="O417" s="20" t="str">
        <f t="shared" ca="1" si="20"/>
        <v/>
      </c>
      <c r="P417" s="16"/>
    </row>
    <row r="418" spans="1:16" x14ac:dyDescent="0.3">
      <c r="A418" s="15" t="str">
        <f t="shared" si="18"/>
        <v/>
      </c>
      <c r="B418" s="16"/>
      <c r="C418" s="16"/>
      <c r="D418" s="16"/>
      <c r="E418" s="17"/>
      <c r="F418" s="16"/>
      <c r="G418" s="16"/>
      <c r="H418" s="16"/>
      <c r="I418" s="18"/>
      <c r="J418" s="18"/>
      <c r="K418" s="19" t="str">
        <f t="shared" si="19"/>
        <v/>
      </c>
      <c r="L418" s="16"/>
      <c r="M418" s="16"/>
      <c r="N418" s="16"/>
      <c r="O418" s="20" t="str">
        <f t="shared" ca="1" si="20"/>
        <v/>
      </c>
      <c r="P418" s="16"/>
    </row>
    <row r="419" spans="1:16" x14ac:dyDescent="0.3">
      <c r="A419" s="15" t="str">
        <f t="shared" si="18"/>
        <v/>
      </c>
      <c r="B419" s="16"/>
      <c r="C419" s="16"/>
      <c r="D419" s="16"/>
      <c r="E419" s="17"/>
      <c r="F419" s="16"/>
      <c r="G419" s="16"/>
      <c r="H419" s="16"/>
      <c r="I419" s="18"/>
      <c r="J419" s="18"/>
      <c r="K419" s="19" t="str">
        <f t="shared" si="19"/>
        <v/>
      </c>
      <c r="L419" s="16"/>
      <c r="M419" s="16"/>
      <c r="N419" s="16"/>
      <c r="O419" s="20" t="str">
        <f t="shared" ca="1" si="20"/>
        <v/>
      </c>
      <c r="P419" s="16"/>
    </row>
    <row r="420" spans="1:16" x14ac:dyDescent="0.3">
      <c r="A420" s="15" t="str">
        <f t="shared" si="18"/>
        <v/>
      </c>
      <c r="B420" s="16"/>
      <c r="C420" s="16"/>
      <c r="D420" s="16"/>
      <c r="E420" s="17"/>
      <c r="F420" s="16"/>
      <c r="G420" s="16"/>
      <c r="H420" s="16"/>
      <c r="I420" s="18"/>
      <c r="J420" s="18"/>
      <c r="K420" s="19" t="str">
        <f t="shared" si="19"/>
        <v/>
      </c>
      <c r="L420" s="16"/>
      <c r="M420" s="16"/>
      <c r="N420" s="16"/>
      <c r="O420" s="20" t="str">
        <f t="shared" ca="1" si="20"/>
        <v/>
      </c>
      <c r="P420" s="16"/>
    </row>
    <row r="421" spans="1:16" x14ac:dyDescent="0.3">
      <c r="A421" s="15" t="str">
        <f t="shared" si="18"/>
        <v/>
      </c>
      <c r="B421" s="16"/>
      <c r="C421" s="16"/>
      <c r="D421" s="16"/>
      <c r="E421" s="17"/>
      <c r="F421" s="16"/>
      <c r="G421" s="16"/>
      <c r="H421" s="16"/>
      <c r="I421" s="18"/>
      <c r="J421" s="18"/>
      <c r="K421" s="19" t="str">
        <f t="shared" si="19"/>
        <v/>
      </c>
      <c r="L421" s="16"/>
      <c r="M421" s="16"/>
      <c r="N421" s="16"/>
      <c r="O421" s="20" t="str">
        <f t="shared" ca="1" si="20"/>
        <v/>
      </c>
      <c r="P421" s="16"/>
    </row>
    <row r="422" spans="1:16" x14ac:dyDescent="0.3">
      <c r="A422" s="15" t="str">
        <f t="shared" si="18"/>
        <v/>
      </c>
      <c r="B422" s="16"/>
      <c r="C422" s="16"/>
      <c r="D422" s="16"/>
      <c r="E422" s="17"/>
      <c r="F422" s="16"/>
      <c r="G422" s="16"/>
      <c r="H422" s="16"/>
      <c r="I422" s="18"/>
      <c r="J422" s="18"/>
      <c r="K422" s="19" t="str">
        <f t="shared" si="19"/>
        <v/>
      </c>
      <c r="L422" s="16"/>
      <c r="M422" s="16"/>
      <c r="N422" s="16"/>
      <c r="O422" s="20" t="str">
        <f t="shared" ca="1" si="20"/>
        <v/>
      </c>
      <c r="P422" s="16"/>
    </row>
    <row r="423" spans="1:16" x14ac:dyDescent="0.3">
      <c r="A423" s="15" t="str">
        <f t="shared" si="18"/>
        <v/>
      </c>
      <c r="B423" s="16"/>
      <c r="C423" s="16"/>
      <c r="D423" s="16"/>
      <c r="E423" s="17"/>
      <c r="F423" s="16"/>
      <c r="G423" s="16"/>
      <c r="H423" s="16"/>
      <c r="I423" s="18"/>
      <c r="J423" s="18"/>
      <c r="K423" s="19" t="str">
        <f t="shared" si="19"/>
        <v/>
      </c>
      <c r="L423" s="16"/>
      <c r="M423" s="16"/>
      <c r="N423" s="16"/>
      <c r="O423" s="20" t="str">
        <f t="shared" ca="1" si="20"/>
        <v/>
      </c>
      <c r="P423" s="16"/>
    </row>
    <row r="424" spans="1:16" x14ac:dyDescent="0.3">
      <c r="A424" s="15" t="str">
        <f t="shared" si="18"/>
        <v/>
      </c>
      <c r="B424" s="16"/>
      <c r="C424" s="16"/>
      <c r="D424" s="16"/>
      <c r="E424" s="17"/>
      <c r="F424" s="16"/>
      <c r="G424" s="16"/>
      <c r="H424" s="16"/>
      <c r="I424" s="18"/>
      <c r="J424" s="18"/>
      <c r="K424" s="19" t="str">
        <f t="shared" si="19"/>
        <v/>
      </c>
      <c r="L424" s="16"/>
      <c r="M424" s="16"/>
      <c r="N424" s="16"/>
      <c r="O424" s="20" t="str">
        <f t="shared" ca="1" si="20"/>
        <v/>
      </c>
      <c r="P424" s="16"/>
    </row>
    <row r="425" spans="1:16" x14ac:dyDescent="0.3">
      <c r="A425" s="15" t="str">
        <f t="shared" si="18"/>
        <v/>
      </c>
      <c r="B425" s="16"/>
      <c r="C425" s="16"/>
      <c r="D425" s="16"/>
      <c r="E425" s="17"/>
      <c r="F425" s="16"/>
      <c r="G425" s="16"/>
      <c r="H425" s="16"/>
      <c r="I425" s="18"/>
      <c r="J425" s="18"/>
      <c r="K425" s="19" t="str">
        <f t="shared" si="19"/>
        <v/>
      </c>
      <c r="L425" s="16"/>
      <c r="M425" s="16"/>
      <c r="N425" s="16"/>
      <c r="O425" s="20" t="str">
        <f t="shared" ca="1" si="20"/>
        <v/>
      </c>
      <c r="P425" s="16"/>
    </row>
    <row r="426" spans="1:16" x14ac:dyDescent="0.3">
      <c r="A426" s="15" t="str">
        <f t="shared" si="18"/>
        <v/>
      </c>
      <c r="B426" s="16"/>
      <c r="C426" s="16"/>
      <c r="D426" s="16"/>
      <c r="E426" s="17"/>
      <c r="F426" s="16"/>
      <c r="G426" s="16"/>
      <c r="H426" s="16"/>
      <c r="I426" s="18"/>
      <c r="J426" s="18"/>
      <c r="K426" s="19" t="str">
        <f t="shared" si="19"/>
        <v/>
      </c>
      <c r="L426" s="16"/>
      <c r="M426" s="16"/>
      <c r="N426" s="16"/>
      <c r="O426" s="20" t="str">
        <f t="shared" ca="1" si="20"/>
        <v/>
      </c>
      <c r="P426" s="16"/>
    </row>
    <row r="427" spans="1:16" x14ac:dyDescent="0.3">
      <c r="A427" s="15" t="str">
        <f t="shared" si="18"/>
        <v/>
      </c>
      <c r="B427" s="16"/>
      <c r="C427" s="16"/>
      <c r="D427" s="16"/>
      <c r="E427" s="17"/>
      <c r="F427" s="16"/>
      <c r="G427" s="16"/>
      <c r="H427" s="16"/>
      <c r="I427" s="18"/>
      <c r="J427" s="18"/>
      <c r="K427" s="19" t="str">
        <f t="shared" si="19"/>
        <v/>
      </c>
      <c r="L427" s="16"/>
      <c r="M427" s="16"/>
      <c r="N427" s="16"/>
      <c r="O427" s="20" t="str">
        <f t="shared" ca="1" si="20"/>
        <v/>
      </c>
      <c r="P427" s="16"/>
    </row>
    <row r="428" spans="1:16" x14ac:dyDescent="0.3">
      <c r="A428" s="15" t="str">
        <f t="shared" si="18"/>
        <v/>
      </c>
      <c r="B428" s="16"/>
      <c r="C428" s="16"/>
      <c r="D428" s="16"/>
      <c r="E428" s="17"/>
      <c r="F428" s="16"/>
      <c r="G428" s="16"/>
      <c r="H428" s="16"/>
      <c r="I428" s="18"/>
      <c r="J428" s="18"/>
      <c r="K428" s="19" t="str">
        <f t="shared" si="19"/>
        <v/>
      </c>
      <c r="L428" s="16"/>
      <c r="M428" s="16"/>
      <c r="N428" s="16"/>
      <c r="O428" s="20" t="str">
        <f t="shared" ca="1" si="20"/>
        <v/>
      </c>
      <c r="P428" s="16"/>
    </row>
    <row r="429" spans="1:16" x14ac:dyDescent="0.3">
      <c r="A429" s="15" t="str">
        <f t="shared" si="18"/>
        <v/>
      </c>
      <c r="B429" s="16"/>
      <c r="C429" s="16"/>
      <c r="D429" s="16"/>
      <c r="E429" s="17"/>
      <c r="F429" s="16"/>
      <c r="G429" s="16"/>
      <c r="H429" s="16"/>
      <c r="I429" s="18"/>
      <c r="J429" s="18"/>
      <c r="K429" s="19" t="str">
        <f t="shared" si="19"/>
        <v/>
      </c>
      <c r="L429" s="16"/>
      <c r="M429" s="16"/>
      <c r="N429" s="16"/>
      <c r="O429" s="20" t="str">
        <f t="shared" ca="1" si="20"/>
        <v/>
      </c>
      <c r="P429" s="16"/>
    </row>
    <row r="430" spans="1:16" x14ac:dyDescent="0.3">
      <c r="A430" s="15" t="str">
        <f t="shared" si="18"/>
        <v/>
      </c>
      <c r="B430" s="16"/>
      <c r="C430" s="16"/>
      <c r="D430" s="16"/>
      <c r="E430" s="17"/>
      <c r="F430" s="16"/>
      <c r="G430" s="16"/>
      <c r="H430" s="16"/>
      <c r="I430" s="18"/>
      <c r="J430" s="18"/>
      <c r="K430" s="19" t="str">
        <f t="shared" si="19"/>
        <v/>
      </c>
      <c r="L430" s="16"/>
      <c r="M430" s="16"/>
      <c r="N430" s="16"/>
      <c r="O430" s="20" t="str">
        <f t="shared" ca="1" si="20"/>
        <v/>
      </c>
      <c r="P430" s="16"/>
    </row>
    <row r="431" spans="1:16" x14ac:dyDescent="0.3">
      <c r="A431" s="15" t="str">
        <f t="shared" si="18"/>
        <v/>
      </c>
      <c r="B431" s="16"/>
      <c r="C431" s="16"/>
      <c r="D431" s="16"/>
      <c r="E431" s="17"/>
      <c r="F431" s="16"/>
      <c r="G431" s="16"/>
      <c r="H431" s="16"/>
      <c r="I431" s="18"/>
      <c r="J431" s="18"/>
      <c r="K431" s="19" t="str">
        <f t="shared" si="19"/>
        <v/>
      </c>
      <c r="L431" s="16"/>
      <c r="M431" s="16"/>
      <c r="N431" s="16"/>
      <c r="O431" s="20" t="str">
        <f t="shared" ca="1" si="20"/>
        <v/>
      </c>
      <c r="P431" s="16"/>
    </row>
    <row r="432" spans="1:16" x14ac:dyDescent="0.3">
      <c r="A432" s="15" t="str">
        <f t="shared" si="18"/>
        <v/>
      </c>
      <c r="B432" s="16"/>
      <c r="C432" s="16"/>
      <c r="D432" s="16"/>
      <c r="E432" s="17"/>
      <c r="F432" s="16"/>
      <c r="G432" s="16"/>
      <c r="H432" s="16"/>
      <c r="I432" s="18"/>
      <c r="J432" s="18"/>
      <c r="K432" s="19" t="str">
        <f t="shared" si="19"/>
        <v/>
      </c>
      <c r="L432" s="16"/>
      <c r="M432" s="16"/>
      <c r="N432" s="16"/>
      <c r="O432" s="20" t="str">
        <f t="shared" ca="1" si="20"/>
        <v/>
      </c>
      <c r="P432" s="16"/>
    </row>
    <row r="433" spans="1:16" x14ac:dyDescent="0.3">
      <c r="A433" s="15" t="str">
        <f t="shared" si="18"/>
        <v/>
      </c>
      <c r="B433" s="16"/>
      <c r="C433" s="16"/>
      <c r="D433" s="16"/>
      <c r="E433" s="17"/>
      <c r="F433" s="16"/>
      <c r="G433" s="16"/>
      <c r="H433" s="16"/>
      <c r="I433" s="18"/>
      <c r="J433" s="18"/>
      <c r="K433" s="19" t="str">
        <f t="shared" si="19"/>
        <v/>
      </c>
      <c r="L433" s="16"/>
      <c r="M433" s="16"/>
      <c r="N433" s="16"/>
      <c r="O433" s="20" t="str">
        <f t="shared" ca="1" si="20"/>
        <v/>
      </c>
      <c r="P433" s="16"/>
    </row>
    <row r="434" spans="1:16" x14ac:dyDescent="0.3">
      <c r="A434" s="15" t="str">
        <f t="shared" si="18"/>
        <v/>
      </c>
      <c r="B434" s="16"/>
      <c r="C434" s="16"/>
      <c r="D434" s="16"/>
      <c r="E434" s="17"/>
      <c r="F434" s="16"/>
      <c r="G434" s="16"/>
      <c r="H434" s="16"/>
      <c r="I434" s="18"/>
      <c r="J434" s="18"/>
      <c r="K434" s="19" t="str">
        <f t="shared" si="19"/>
        <v/>
      </c>
      <c r="L434" s="16"/>
      <c r="M434" s="16"/>
      <c r="N434" s="16"/>
      <c r="O434" s="20" t="str">
        <f t="shared" ca="1" si="20"/>
        <v/>
      </c>
      <c r="P434" s="16"/>
    </row>
    <row r="435" spans="1:16" x14ac:dyDescent="0.3">
      <c r="A435" s="15" t="str">
        <f t="shared" si="18"/>
        <v/>
      </c>
      <c r="B435" s="16"/>
      <c r="C435" s="16"/>
      <c r="D435" s="16"/>
      <c r="E435" s="17"/>
      <c r="F435" s="16"/>
      <c r="G435" s="16"/>
      <c r="H435" s="16"/>
      <c r="I435" s="18"/>
      <c r="J435" s="18"/>
      <c r="K435" s="19" t="str">
        <f t="shared" si="19"/>
        <v/>
      </c>
      <c r="L435" s="16"/>
      <c r="M435" s="16"/>
      <c r="N435" s="16"/>
      <c r="O435" s="20" t="str">
        <f t="shared" ca="1" si="20"/>
        <v/>
      </c>
      <c r="P435" s="16"/>
    </row>
    <row r="436" spans="1:16" x14ac:dyDescent="0.3">
      <c r="A436" s="15" t="str">
        <f t="shared" si="18"/>
        <v/>
      </c>
      <c r="B436" s="16"/>
      <c r="C436" s="16"/>
      <c r="D436" s="16"/>
      <c r="E436" s="17"/>
      <c r="F436" s="16"/>
      <c r="G436" s="16"/>
      <c r="H436" s="16"/>
      <c r="I436" s="18"/>
      <c r="J436" s="18"/>
      <c r="K436" s="19" t="str">
        <f t="shared" si="19"/>
        <v/>
      </c>
      <c r="L436" s="16"/>
      <c r="M436" s="16"/>
      <c r="N436" s="16"/>
      <c r="O436" s="20" t="str">
        <f t="shared" ca="1" si="20"/>
        <v/>
      </c>
      <c r="P436" s="16"/>
    </row>
    <row r="437" spans="1:16" x14ac:dyDescent="0.3">
      <c r="A437" s="15" t="str">
        <f t="shared" si="18"/>
        <v/>
      </c>
      <c r="B437" s="16"/>
      <c r="C437" s="16"/>
      <c r="D437" s="16"/>
      <c r="E437" s="17"/>
      <c r="F437" s="16"/>
      <c r="G437" s="16"/>
      <c r="H437" s="16"/>
      <c r="I437" s="18"/>
      <c r="J437" s="18"/>
      <c r="K437" s="19" t="str">
        <f t="shared" si="19"/>
        <v/>
      </c>
      <c r="L437" s="16"/>
      <c r="M437" s="16"/>
      <c r="N437" s="16"/>
      <c r="O437" s="20" t="str">
        <f t="shared" ca="1" si="20"/>
        <v/>
      </c>
      <c r="P437" s="16"/>
    </row>
    <row r="438" spans="1:16" x14ac:dyDescent="0.3">
      <c r="A438" s="15" t="str">
        <f t="shared" si="18"/>
        <v/>
      </c>
      <c r="B438" s="16"/>
      <c r="C438" s="16"/>
      <c r="D438" s="16"/>
      <c r="E438" s="17"/>
      <c r="F438" s="16"/>
      <c r="G438" s="16"/>
      <c r="H438" s="16"/>
      <c r="I438" s="18"/>
      <c r="J438" s="18"/>
      <c r="K438" s="19" t="str">
        <f t="shared" si="19"/>
        <v/>
      </c>
      <c r="L438" s="16"/>
      <c r="M438" s="16"/>
      <c r="N438" s="16"/>
      <c r="O438" s="20" t="str">
        <f t="shared" ca="1" si="20"/>
        <v/>
      </c>
      <c r="P438" s="16"/>
    </row>
    <row r="439" spans="1:16" x14ac:dyDescent="0.3">
      <c r="A439" s="15" t="str">
        <f t="shared" si="18"/>
        <v/>
      </c>
      <c r="B439" s="16"/>
      <c r="C439" s="16"/>
      <c r="D439" s="16"/>
      <c r="E439" s="17"/>
      <c r="F439" s="16"/>
      <c r="G439" s="16"/>
      <c r="H439" s="16"/>
      <c r="I439" s="18"/>
      <c r="J439" s="18"/>
      <c r="K439" s="19" t="str">
        <f t="shared" si="19"/>
        <v/>
      </c>
      <c r="L439" s="16"/>
      <c r="M439" s="16"/>
      <c r="N439" s="16"/>
      <c r="O439" s="20" t="str">
        <f t="shared" ca="1" si="20"/>
        <v/>
      </c>
      <c r="P439" s="16"/>
    </row>
    <row r="440" spans="1:16" x14ac:dyDescent="0.3">
      <c r="A440" s="15" t="str">
        <f t="shared" si="18"/>
        <v/>
      </c>
      <c r="B440" s="16"/>
      <c r="C440" s="16"/>
      <c r="D440" s="16"/>
      <c r="E440" s="17"/>
      <c r="F440" s="16"/>
      <c r="G440" s="16"/>
      <c r="H440" s="16"/>
      <c r="I440" s="18"/>
      <c r="J440" s="18"/>
      <c r="K440" s="19" t="str">
        <f t="shared" si="19"/>
        <v/>
      </c>
      <c r="L440" s="16"/>
      <c r="M440" s="16"/>
      <c r="N440" s="16"/>
      <c r="O440" s="20" t="str">
        <f t="shared" ca="1" si="20"/>
        <v/>
      </c>
      <c r="P440" s="16"/>
    </row>
    <row r="441" spans="1:16" x14ac:dyDescent="0.3">
      <c r="A441" s="15" t="str">
        <f t="shared" si="18"/>
        <v/>
      </c>
      <c r="B441" s="16"/>
      <c r="C441" s="16"/>
      <c r="D441" s="16"/>
      <c r="E441" s="17"/>
      <c r="F441" s="16"/>
      <c r="G441" s="16"/>
      <c r="H441" s="16"/>
      <c r="I441" s="18"/>
      <c r="J441" s="18"/>
      <c r="K441" s="19" t="str">
        <f t="shared" si="19"/>
        <v/>
      </c>
      <c r="L441" s="16"/>
      <c r="M441" s="16"/>
      <c r="N441" s="16"/>
      <c r="O441" s="20" t="str">
        <f t="shared" ca="1" si="20"/>
        <v/>
      </c>
      <c r="P441" s="16"/>
    </row>
    <row r="442" spans="1:16" x14ac:dyDescent="0.3">
      <c r="A442" s="15" t="str">
        <f t="shared" si="18"/>
        <v/>
      </c>
      <c r="B442" s="16"/>
      <c r="C442" s="16"/>
      <c r="D442" s="16"/>
      <c r="E442" s="17"/>
      <c r="F442" s="16"/>
      <c r="G442" s="16"/>
      <c r="H442" s="16"/>
      <c r="I442" s="18"/>
      <c r="J442" s="18"/>
      <c r="K442" s="19" t="str">
        <f t="shared" si="19"/>
        <v/>
      </c>
      <c r="L442" s="16"/>
      <c r="M442" s="16"/>
      <c r="N442" s="16"/>
      <c r="O442" s="20" t="str">
        <f t="shared" ca="1" si="20"/>
        <v/>
      </c>
      <c r="P442" s="16"/>
    </row>
    <row r="443" spans="1:16" x14ac:dyDescent="0.3">
      <c r="A443" s="15" t="str">
        <f t="shared" si="18"/>
        <v/>
      </c>
      <c r="B443" s="16"/>
      <c r="C443" s="16"/>
      <c r="D443" s="16"/>
      <c r="E443" s="17"/>
      <c r="F443" s="16"/>
      <c r="G443" s="16"/>
      <c r="H443" s="16"/>
      <c r="I443" s="18"/>
      <c r="J443" s="18"/>
      <c r="K443" s="19" t="str">
        <f t="shared" si="19"/>
        <v/>
      </c>
      <c r="L443" s="16"/>
      <c r="M443" s="16"/>
      <c r="N443" s="16"/>
      <c r="O443" s="20" t="str">
        <f t="shared" ca="1" si="20"/>
        <v/>
      </c>
      <c r="P443" s="16"/>
    </row>
    <row r="444" spans="1:16" x14ac:dyDescent="0.3">
      <c r="A444" s="15" t="str">
        <f t="shared" si="18"/>
        <v/>
      </c>
      <c r="B444" s="16"/>
      <c r="C444" s="16"/>
      <c r="D444" s="16"/>
      <c r="E444" s="17"/>
      <c r="F444" s="16"/>
      <c r="G444" s="16"/>
      <c r="H444" s="16"/>
      <c r="I444" s="18"/>
      <c r="J444" s="18"/>
      <c r="K444" s="19" t="str">
        <f t="shared" si="19"/>
        <v/>
      </c>
      <c r="L444" s="16"/>
      <c r="M444" s="16"/>
      <c r="N444" s="16"/>
      <c r="O444" s="20" t="str">
        <f t="shared" ca="1" si="20"/>
        <v/>
      </c>
      <c r="P444" s="16"/>
    </row>
    <row r="445" spans="1:16" x14ac:dyDescent="0.3">
      <c r="A445" s="15" t="str">
        <f t="shared" si="18"/>
        <v/>
      </c>
      <c r="B445" s="16"/>
      <c r="C445" s="16"/>
      <c r="D445" s="16"/>
      <c r="E445" s="17"/>
      <c r="F445" s="16"/>
      <c r="G445" s="16"/>
      <c r="H445" s="16"/>
      <c r="I445" s="18"/>
      <c r="J445" s="18"/>
      <c r="K445" s="19" t="str">
        <f t="shared" si="19"/>
        <v/>
      </c>
      <c r="L445" s="16"/>
      <c r="M445" s="16"/>
      <c r="N445" s="16"/>
      <c r="O445" s="20" t="str">
        <f t="shared" ca="1" si="20"/>
        <v/>
      </c>
      <c r="P445" s="16"/>
    </row>
    <row r="446" spans="1:16" x14ac:dyDescent="0.3">
      <c r="A446" s="15" t="str">
        <f t="shared" si="18"/>
        <v/>
      </c>
      <c r="B446" s="16"/>
      <c r="C446" s="16"/>
      <c r="D446" s="16"/>
      <c r="E446" s="17"/>
      <c r="F446" s="16"/>
      <c r="G446" s="16"/>
      <c r="H446" s="16"/>
      <c r="I446" s="18"/>
      <c r="J446" s="18"/>
      <c r="K446" s="19" t="str">
        <f t="shared" si="19"/>
        <v/>
      </c>
      <c r="L446" s="16"/>
      <c r="M446" s="16"/>
      <c r="N446" s="16"/>
      <c r="O446" s="20" t="str">
        <f t="shared" ca="1" si="20"/>
        <v/>
      </c>
      <c r="P446" s="16"/>
    </row>
    <row r="447" spans="1:16" x14ac:dyDescent="0.3">
      <c r="A447" s="15" t="str">
        <f t="shared" si="18"/>
        <v/>
      </c>
      <c r="B447" s="16"/>
      <c r="C447" s="16"/>
      <c r="D447" s="16"/>
      <c r="E447" s="17"/>
      <c r="F447" s="16"/>
      <c r="G447" s="16"/>
      <c r="H447" s="16"/>
      <c r="I447" s="18"/>
      <c r="J447" s="18"/>
      <c r="K447" s="19" t="str">
        <f t="shared" si="19"/>
        <v/>
      </c>
      <c r="L447" s="16"/>
      <c r="M447" s="16"/>
      <c r="N447" s="16"/>
      <c r="O447" s="20" t="str">
        <f t="shared" ca="1" si="20"/>
        <v/>
      </c>
      <c r="P447" s="16"/>
    </row>
    <row r="448" spans="1:16" x14ac:dyDescent="0.3">
      <c r="A448" s="15" t="str">
        <f t="shared" si="18"/>
        <v/>
      </c>
      <c r="B448" s="16"/>
      <c r="C448" s="16"/>
      <c r="D448" s="16"/>
      <c r="E448" s="17"/>
      <c r="F448" s="16"/>
      <c r="G448" s="16"/>
      <c r="H448" s="16"/>
      <c r="I448" s="18"/>
      <c r="J448" s="18"/>
      <c r="K448" s="19" t="str">
        <f t="shared" si="19"/>
        <v/>
      </c>
      <c r="L448" s="16"/>
      <c r="M448" s="16"/>
      <c r="N448" s="16"/>
      <c r="O448" s="20" t="str">
        <f t="shared" ca="1" si="20"/>
        <v/>
      </c>
      <c r="P448" s="16"/>
    </row>
    <row r="449" spans="1:16" x14ac:dyDescent="0.3">
      <c r="A449" s="15" t="str">
        <f t="shared" si="18"/>
        <v/>
      </c>
      <c r="B449" s="16"/>
      <c r="C449" s="16"/>
      <c r="D449" s="16"/>
      <c r="E449" s="17"/>
      <c r="F449" s="16"/>
      <c r="G449" s="16"/>
      <c r="H449" s="16"/>
      <c r="I449" s="18"/>
      <c r="J449" s="18"/>
      <c r="K449" s="19" t="str">
        <f t="shared" si="19"/>
        <v/>
      </c>
      <c r="L449" s="16"/>
      <c r="M449" s="16"/>
      <c r="N449" s="16"/>
      <c r="O449" s="20" t="str">
        <f t="shared" ca="1" si="20"/>
        <v/>
      </c>
      <c r="P449" s="16"/>
    </row>
    <row r="450" spans="1:16" x14ac:dyDescent="0.3">
      <c r="A450" s="15" t="str">
        <f t="shared" ref="A450:A501" si="21">IF(B450="","","JOB-"&amp;TEXT(ROW()-1,"0000"))</f>
        <v/>
      </c>
      <c r="B450" s="16"/>
      <c r="C450" s="16"/>
      <c r="D450" s="16"/>
      <c r="E450" s="17"/>
      <c r="F450" s="16"/>
      <c r="G450" s="16"/>
      <c r="H450" s="16"/>
      <c r="I450" s="18"/>
      <c r="J450" s="18"/>
      <c r="K450" s="19" t="str">
        <f t="shared" ref="K450:K501" si="22">IF(B450="","",IF(H450="paid",0,MAX(0,I450-J450)))</f>
        <v/>
      </c>
      <c r="L450" s="16"/>
      <c r="M450" s="16"/>
      <c r="N450" s="16"/>
      <c r="O450" s="20" t="str">
        <f t="shared" ref="O450:O501" ca="1" si="23">IF(B450="","",TODAY())</f>
        <v/>
      </c>
      <c r="P450" s="16"/>
    </row>
    <row r="451" spans="1:16" x14ac:dyDescent="0.3">
      <c r="A451" s="15" t="str">
        <f t="shared" si="21"/>
        <v/>
      </c>
      <c r="B451" s="16"/>
      <c r="C451" s="16"/>
      <c r="D451" s="16"/>
      <c r="E451" s="17"/>
      <c r="F451" s="16"/>
      <c r="G451" s="16"/>
      <c r="H451" s="16"/>
      <c r="I451" s="18"/>
      <c r="J451" s="18"/>
      <c r="K451" s="19" t="str">
        <f t="shared" si="22"/>
        <v/>
      </c>
      <c r="L451" s="16"/>
      <c r="M451" s="16"/>
      <c r="N451" s="16"/>
      <c r="O451" s="20" t="str">
        <f t="shared" ca="1" si="23"/>
        <v/>
      </c>
      <c r="P451" s="16"/>
    </row>
    <row r="452" spans="1:16" x14ac:dyDescent="0.3">
      <c r="A452" s="15" t="str">
        <f t="shared" si="21"/>
        <v/>
      </c>
      <c r="B452" s="16"/>
      <c r="C452" s="16"/>
      <c r="D452" s="16"/>
      <c r="E452" s="17"/>
      <c r="F452" s="16"/>
      <c r="G452" s="16"/>
      <c r="H452" s="16"/>
      <c r="I452" s="18"/>
      <c r="J452" s="18"/>
      <c r="K452" s="19" t="str">
        <f t="shared" si="22"/>
        <v/>
      </c>
      <c r="L452" s="16"/>
      <c r="M452" s="16"/>
      <c r="N452" s="16"/>
      <c r="O452" s="20" t="str">
        <f t="shared" ca="1" si="23"/>
        <v/>
      </c>
      <c r="P452" s="16"/>
    </row>
    <row r="453" spans="1:16" x14ac:dyDescent="0.3">
      <c r="A453" s="15" t="str">
        <f t="shared" si="21"/>
        <v/>
      </c>
      <c r="B453" s="16"/>
      <c r="C453" s="16"/>
      <c r="D453" s="16"/>
      <c r="E453" s="17"/>
      <c r="F453" s="16"/>
      <c r="G453" s="16"/>
      <c r="H453" s="16"/>
      <c r="I453" s="18"/>
      <c r="J453" s="18"/>
      <c r="K453" s="19" t="str">
        <f t="shared" si="22"/>
        <v/>
      </c>
      <c r="L453" s="16"/>
      <c r="M453" s="16"/>
      <c r="N453" s="16"/>
      <c r="O453" s="20" t="str">
        <f t="shared" ca="1" si="23"/>
        <v/>
      </c>
      <c r="P453" s="16"/>
    </row>
    <row r="454" spans="1:16" x14ac:dyDescent="0.3">
      <c r="A454" s="15" t="str">
        <f t="shared" si="21"/>
        <v/>
      </c>
      <c r="B454" s="16"/>
      <c r="C454" s="16"/>
      <c r="D454" s="16"/>
      <c r="E454" s="17"/>
      <c r="F454" s="16"/>
      <c r="G454" s="16"/>
      <c r="H454" s="16"/>
      <c r="I454" s="18"/>
      <c r="J454" s="18"/>
      <c r="K454" s="19" t="str">
        <f t="shared" si="22"/>
        <v/>
      </c>
      <c r="L454" s="16"/>
      <c r="M454" s="16"/>
      <c r="N454" s="16"/>
      <c r="O454" s="20" t="str">
        <f t="shared" ca="1" si="23"/>
        <v/>
      </c>
      <c r="P454" s="16"/>
    </row>
    <row r="455" spans="1:16" x14ac:dyDescent="0.3">
      <c r="A455" s="15" t="str">
        <f t="shared" si="21"/>
        <v/>
      </c>
      <c r="B455" s="16"/>
      <c r="C455" s="16"/>
      <c r="D455" s="16"/>
      <c r="E455" s="17"/>
      <c r="F455" s="16"/>
      <c r="G455" s="16"/>
      <c r="H455" s="16"/>
      <c r="I455" s="18"/>
      <c r="J455" s="18"/>
      <c r="K455" s="19" t="str">
        <f t="shared" si="22"/>
        <v/>
      </c>
      <c r="L455" s="16"/>
      <c r="M455" s="16"/>
      <c r="N455" s="16"/>
      <c r="O455" s="20" t="str">
        <f t="shared" ca="1" si="23"/>
        <v/>
      </c>
      <c r="P455" s="16"/>
    </row>
    <row r="456" spans="1:16" x14ac:dyDescent="0.3">
      <c r="A456" s="15" t="str">
        <f t="shared" si="21"/>
        <v/>
      </c>
      <c r="B456" s="16"/>
      <c r="C456" s="16"/>
      <c r="D456" s="16"/>
      <c r="E456" s="17"/>
      <c r="F456" s="16"/>
      <c r="G456" s="16"/>
      <c r="H456" s="16"/>
      <c r="I456" s="18"/>
      <c r="J456" s="18"/>
      <c r="K456" s="19" t="str">
        <f t="shared" si="22"/>
        <v/>
      </c>
      <c r="L456" s="16"/>
      <c r="M456" s="16"/>
      <c r="N456" s="16"/>
      <c r="O456" s="20" t="str">
        <f t="shared" ca="1" si="23"/>
        <v/>
      </c>
      <c r="P456" s="16"/>
    </row>
    <row r="457" spans="1:16" x14ac:dyDescent="0.3">
      <c r="A457" s="15" t="str">
        <f t="shared" si="21"/>
        <v/>
      </c>
      <c r="B457" s="16"/>
      <c r="C457" s="16"/>
      <c r="D457" s="16"/>
      <c r="E457" s="17"/>
      <c r="F457" s="16"/>
      <c r="G457" s="16"/>
      <c r="H457" s="16"/>
      <c r="I457" s="18"/>
      <c r="J457" s="18"/>
      <c r="K457" s="19" t="str">
        <f t="shared" si="22"/>
        <v/>
      </c>
      <c r="L457" s="16"/>
      <c r="M457" s="16"/>
      <c r="N457" s="16"/>
      <c r="O457" s="20" t="str">
        <f t="shared" ca="1" si="23"/>
        <v/>
      </c>
      <c r="P457" s="16"/>
    </row>
    <row r="458" spans="1:16" x14ac:dyDescent="0.3">
      <c r="A458" s="15" t="str">
        <f t="shared" si="21"/>
        <v/>
      </c>
      <c r="B458" s="16"/>
      <c r="C458" s="16"/>
      <c r="D458" s="16"/>
      <c r="E458" s="17"/>
      <c r="F458" s="16"/>
      <c r="G458" s="16"/>
      <c r="H458" s="16"/>
      <c r="I458" s="18"/>
      <c r="J458" s="18"/>
      <c r="K458" s="19" t="str">
        <f t="shared" si="22"/>
        <v/>
      </c>
      <c r="L458" s="16"/>
      <c r="M458" s="16"/>
      <c r="N458" s="16"/>
      <c r="O458" s="20" t="str">
        <f t="shared" ca="1" si="23"/>
        <v/>
      </c>
      <c r="P458" s="16"/>
    </row>
    <row r="459" spans="1:16" x14ac:dyDescent="0.3">
      <c r="A459" s="15" t="str">
        <f t="shared" si="21"/>
        <v/>
      </c>
      <c r="B459" s="16"/>
      <c r="C459" s="16"/>
      <c r="D459" s="16"/>
      <c r="E459" s="17"/>
      <c r="F459" s="16"/>
      <c r="G459" s="16"/>
      <c r="H459" s="16"/>
      <c r="I459" s="18"/>
      <c r="J459" s="18"/>
      <c r="K459" s="19" t="str">
        <f t="shared" si="22"/>
        <v/>
      </c>
      <c r="L459" s="16"/>
      <c r="M459" s="16"/>
      <c r="N459" s="16"/>
      <c r="O459" s="20" t="str">
        <f t="shared" ca="1" si="23"/>
        <v/>
      </c>
      <c r="P459" s="16"/>
    </row>
    <row r="460" spans="1:16" x14ac:dyDescent="0.3">
      <c r="A460" s="15" t="str">
        <f t="shared" si="21"/>
        <v/>
      </c>
      <c r="B460" s="16"/>
      <c r="C460" s="16"/>
      <c r="D460" s="16"/>
      <c r="E460" s="17"/>
      <c r="F460" s="16"/>
      <c r="G460" s="16"/>
      <c r="H460" s="16"/>
      <c r="I460" s="18"/>
      <c r="J460" s="18"/>
      <c r="K460" s="19" t="str">
        <f t="shared" si="22"/>
        <v/>
      </c>
      <c r="L460" s="16"/>
      <c r="M460" s="16"/>
      <c r="N460" s="16"/>
      <c r="O460" s="20" t="str">
        <f t="shared" ca="1" si="23"/>
        <v/>
      </c>
      <c r="P460" s="16"/>
    </row>
    <row r="461" spans="1:16" x14ac:dyDescent="0.3">
      <c r="A461" s="15" t="str">
        <f t="shared" si="21"/>
        <v/>
      </c>
      <c r="B461" s="16"/>
      <c r="C461" s="16"/>
      <c r="D461" s="16"/>
      <c r="E461" s="17"/>
      <c r="F461" s="16"/>
      <c r="G461" s="16"/>
      <c r="H461" s="16"/>
      <c r="I461" s="18"/>
      <c r="J461" s="18"/>
      <c r="K461" s="19" t="str">
        <f t="shared" si="22"/>
        <v/>
      </c>
      <c r="L461" s="16"/>
      <c r="M461" s="16"/>
      <c r="N461" s="16"/>
      <c r="O461" s="20" t="str">
        <f t="shared" ca="1" si="23"/>
        <v/>
      </c>
      <c r="P461" s="16"/>
    </row>
    <row r="462" spans="1:16" x14ac:dyDescent="0.3">
      <c r="A462" s="15" t="str">
        <f t="shared" si="21"/>
        <v/>
      </c>
      <c r="B462" s="16"/>
      <c r="C462" s="16"/>
      <c r="D462" s="16"/>
      <c r="E462" s="17"/>
      <c r="F462" s="16"/>
      <c r="G462" s="16"/>
      <c r="H462" s="16"/>
      <c r="I462" s="18"/>
      <c r="J462" s="18"/>
      <c r="K462" s="19" t="str">
        <f t="shared" si="22"/>
        <v/>
      </c>
      <c r="L462" s="16"/>
      <c r="M462" s="16"/>
      <c r="N462" s="16"/>
      <c r="O462" s="20" t="str">
        <f t="shared" ca="1" si="23"/>
        <v/>
      </c>
      <c r="P462" s="16"/>
    </row>
    <row r="463" spans="1:16" x14ac:dyDescent="0.3">
      <c r="A463" s="15" t="str">
        <f t="shared" si="21"/>
        <v/>
      </c>
      <c r="B463" s="16"/>
      <c r="C463" s="16"/>
      <c r="D463" s="16"/>
      <c r="E463" s="17"/>
      <c r="F463" s="16"/>
      <c r="G463" s="16"/>
      <c r="H463" s="16"/>
      <c r="I463" s="18"/>
      <c r="J463" s="18"/>
      <c r="K463" s="19" t="str">
        <f t="shared" si="22"/>
        <v/>
      </c>
      <c r="L463" s="16"/>
      <c r="M463" s="16"/>
      <c r="N463" s="16"/>
      <c r="O463" s="20" t="str">
        <f t="shared" ca="1" si="23"/>
        <v/>
      </c>
      <c r="P463" s="16"/>
    </row>
    <row r="464" spans="1:16" x14ac:dyDescent="0.3">
      <c r="A464" s="15" t="str">
        <f t="shared" si="21"/>
        <v/>
      </c>
      <c r="B464" s="16"/>
      <c r="C464" s="16"/>
      <c r="D464" s="16"/>
      <c r="E464" s="17"/>
      <c r="F464" s="16"/>
      <c r="G464" s="16"/>
      <c r="H464" s="16"/>
      <c r="I464" s="18"/>
      <c r="J464" s="18"/>
      <c r="K464" s="19" t="str">
        <f t="shared" si="22"/>
        <v/>
      </c>
      <c r="L464" s="16"/>
      <c r="M464" s="16"/>
      <c r="N464" s="16"/>
      <c r="O464" s="20" t="str">
        <f t="shared" ca="1" si="23"/>
        <v/>
      </c>
      <c r="P464" s="16"/>
    </row>
    <row r="465" spans="1:16" x14ac:dyDescent="0.3">
      <c r="A465" s="15" t="str">
        <f t="shared" si="21"/>
        <v/>
      </c>
      <c r="B465" s="16"/>
      <c r="C465" s="16"/>
      <c r="D465" s="16"/>
      <c r="E465" s="17"/>
      <c r="F465" s="16"/>
      <c r="G465" s="16"/>
      <c r="H465" s="16"/>
      <c r="I465" s="18"/>
      <c r="J465" s="18"/>
      <c r="K465" s="19" t="str">
        <f t="shared" si="22"/>
        <v/>
      </c>
      <c r="L465" s="16"/>
      <c r="M465" s="16"/>
      <c r="N465" s="16"/>
      <c r="O465" s="20" t="str">
        <f t="shared" ca="1" si="23"/>
        <v/>
      </c>
      <c r="P465" s="16"/>
    </row>
    <row r="466" spans="1:16" x14ac:dyDescent="0.3">
      <c r="A466" s="15" t="str">
        <f t="shared" si="21"/>
        <v/>
      </c>
      <c r="B466" s="16"/>
      <c r="C466" s="16"/>
      <c r="D466" s="16"/>
      <c r="E466" s="17"/>
      <c r="F466" s="16"/>
      <c r="G466" s="16"/>
      <c r="H466" s="16"/>
      <c r="I466" s="18"/>
      <c r="J466" s="18"/>
      <c r="K466" s="19" t="str">
        <f t="shared" si="22"/>
        <v/>
      </c>
      <c r="L466" s="16"/>
      <c r="M466" s="16"/>
      <c r="N466" s="16"/>
      <c r="O466" s="20" t="str">
        <f t="shared" ca="1" si="23"/>
        <v/>
      </c>
      <c r="P466" s="16"/>
    </row>
    <row r="467" spans="1:16" x14ac:dyDescent="0.3">
      <c r="A467" s="15" t="str">
        <f t="shared" si="21"/>
        <v/>
      </c>
      <c r="B467" s="16"/>
      <c r="C467" s="16"/>
      <c r="D467" s="16"/>
      <c r="E467" s="17"/>
      <c r="F467" s="16"/>
      <c r="G467" s="16"/>
      <c r="H467" s="16"/>
      <c r="I467" s="18"/>
      <c r="J467" s="18"/>
      <c r="K467" s="19" t="str">
        <f t="shared" si="22"/>
        <v/>
      </c>
      <c r="L467" s="16"/>
      <c r="M467" s="16"/>
      <c r="N467" s="16"/>
      <c r="O467" s="20" t="str">
        <f t="shared" ca="1" si="23"/>
        <v/>
      </c>
      <c r="P467" s="16"/>
    </row>
    <row r="468" spans="1:16" x14ac:dyDescent="0.3">
      <c r="A468" s="15" t="str">
        <f t="shared" si="21"/>
        <v/>
      </c>
      <c r="B468" s="16"/>
      <c r="C468" s="16"/>
      <c r="D468" s="16"/>
      <c r="E468" s="17"/>
      <c r="F468" s="16"/>
      <c r="G468" s="16"/>
      <c r="H468" s="16"/>
      <c r="I468" s="18"/>
      <c r="J468" s="18"/>
      <c r="K468" s="19" t="str">
        <f t="shared" si="22"/>
        <v/>
      </c>
      <c r="L468" s="16"/>
      <c r="M468" s="16"/>
      <c r="N468" s="16"/>
      <c r="O468" s="20" t="str">
        <f t="shared" ca="1" si="23"/>
        <v/>
      </c>
      <c r="P468" s="16"/>
    </row>
    <row r="469" spans="1:16" x14ac:dyDescent="0.3">
      <c r="A469" s="15" t="str">
        <f t="shared" si="21"/>
        <v/>
      </c>
      <c r="B469" s="16"/>
      <c r="C469" s="16"/>
      <c r="D469" s="16"/>
      <c r="E469" s="17"/>
      <c r="F469" s="16"/>
      <c r="G469" s="16"/>
      <c r="H469" s="16"/>
      <c r="I469" s="18"/>
      <c r="J469" s="18"/>
      <c r="K469" s="19" t="str">
        <f t="shared" si="22"/>
        <v/>
      </c>
      <c r="L469" s="16"/>
      <c r="M469" s="16"/>
      <c r="N469" s="16"/>
      <c r="O469" s="20" t="str">
        <f t="shared" ca="1" si="23"/>
        <v/>
      </c>
      <c r="P469" s="16"/>
    </row>
    <row r="470" spans="1:16" x14ac:dyDescent="0.3">
      <c r="A470" s="15" t="str">
        <f t="shared" si="21"/>
        <v/>
      </c>
      <c r="B470" s="16"/>
      <c r="C470" s="16"/>
      <c r="D470" s="16"/>
      <c r="E470" s="17"/>
      <c r="F470" s="16"/>
      <c r="G470" s="16"/>
      <c r="H470" s="16"/>
      <c r="I470" s="18"/>
      <c r="J470" s="18"/>
      <c r="K470" s="19" t="str">
        <f t="shared" si="22"/>
        <v/>
      </c>
      <c r="L470" s="16"/>
      <c r="M470" s="16"/>
      <c r="N470" s="16"/>
      <c r="O470" s="20" t="str">
        <f t="shared" ca="1" si="23"/>
        <v/>
      </c>
      <c r="P470" s="16"/>
    </row>
    <row r="471" spans="1:16" x14ac:dyDescent="0.3">
      <c r="A471" s="15" t="str">
        <f t="shared" si="21"/>
        <v/>
      </c>
      <c r="B471" s="16"/>
      <c r="C471" s="16"/>
      <c r="D471" s="16"/>
      <c r="E471" s="17"/>
      <c r="F471" s="16"/>
      <c r="G471" s="16"/>
      <c r="H471" s="16"/>
      <c r="I471" s="18"/>
      <c r="J471" s="18"/>
      <c r="K471" s="19" t="str">
        <f t="shared" si="22"/>
        <v/>
      </c>
      <c r="L471" s="16"/>
      <c r="M471" s="16"/>
      <c r="N471" s="16"/>
      <c r="O471" s="20" t="str">
        <f t="shared" ca="1" si="23"/>
        <v/>
      </c>
      <c r="P471" s="16"/>
    </row>
    <row r="472" spans="1:16" x14ac:dyDescent="0.3">
      <c r="A472" s="15" t="str">
        <f t="shared" si="21"/>
        <v/>
      </c>
      <c r="B472" s="16"/>
      <c r="C472" s="16"/>
      <c r="D472" s="16"/>
      <c r="E472" s="17"/>
      <c r="F472" s="16"/>
      <c r="G472" s="16"/>
      <c r="H472" s="16"/>
      <c r="I472" s="18"/>
      <c r="J472" s="18"/>
      <c r="K472" s="19" t="str">
        <f t="shared" si="22"/>
        <v/>
      </c>
      <c r="L472" s="16"/>
      <c r="M472" s="16"/>
      <c r="N472" s="16"/>
      <c r="O472" s="20" t="str">
        <f t="shared" ca="1" si="23"/>
        <v/>
      </c>
      <c r="P472" s="16"/>
    </row>
    <row r="473" spans="1:16" x14ac:dyDescent="0.3">
      <c r="A473" s="15" t="str">
        <f t="shared" si="21"/>
        <v/>
      </c>
      <c r="B473" s="16"/>
      <c r="C473" s="16"/>
      <c r="D473" s="16"/>
      <c r="E473" s="17"/>
      <c r="F473" s="16"/>
      <c r="G473" s="16"/>
      <c r="H473" s="16"/>
      <c r="I473" s="18"/>
      <c r="J473" s="18"/>
      <c r="K473" s="19" t="str">
        <f t="shared" si="22"/>
        <v/>
      </c>
      <c r="L473" s="16"/>
      <c r="M473" s="16"/>
      <c r="N473" s="16"/>
      <c r="O473" s="20" t="str">
        <f t="shared" ca="1" si="23"/>
        <v/>
      </c>
      <c r="P473" s="16"/>
    </row>
    <row r="474" spans="1:16" x14ac:dyDescent="0.3">
      <c r="A474" s="15" t="str">
        <f t="shared" si="21"/>
        <v/>
      </c>
      <c r="B474" s="16"/>
      <c r="C474" s="16"/>
      <c r="D474" s="16"/>
      <c r="E474" s="17"/>
      <c r="F474" s="16"/>
      <c r="G474" s="16"/>
      <c r="H474" s="16"/>
      <c r="I474" s="18"/>
      <c r="J474" s="18"/>
      <c r="K474" s="19" t="str">
        <f t="shared" si="22"/>
        <v/>
      </c>
      <c r="L474" s="16"/>
      <c r="M474" s="16"/>
      <c r="N474" s="16"/>
      <c r="O474" s="20" t="str">
        <f t="shared" ca="1" si="23"/>
        <v/>
      </c>
      <c r="P474" s="16"/>
    </row>
    <row r="475" spans="1:16" x14ac:dyDescent="0.3">
      <c r="A475" s="15" t="str">
        <f t="shared" si="21"/>
        <v/>
      </c>
      <c r="B475" s="16"/>
      <c r="C475" s="16"/>
      <c r="D475" s="16"/>
      <c r="E475" s="17"/>
      <c r="F475" s="16"/>
      <c r="G475" s="16"/>
      <c r="H475" s="16"/>
      <c r="I475" s="18"/>
      <c r="J475" s="18"/>
      <c r="K475" s="19" t="str">
        <f t="shared" si="22"/>
        <v/>
      </c>
      <c r="L475" s="16"/>
      <c r="M475" s="16"/>
      <c r="N475" s="16"/>
      <c r="O475" s="20" t="str">
        <f t="shared" ca="1" si="23"/>
        <v/>
      </c>
      <c r="P475" s="16"/>
    </row>
    <row r="476" spans="1:16" x14ac:dyDescent="0.3">
      <c r="A476" s="15" t="str">
        <f t="shared" si="21"/>
        <v/>
      </c>
      <c r="B476" s="16"/>
      <c r="C476" s="16"/>
      <c r="D476" s="16"/>
      <c r="E476" s="17"/>
      <c r="F476" s="16"/>
      <c r="G476" s="16"/>
      <c r="H476" s="16"/>
      <c r="I476" s="18"/>
      <c r="J476" s="18"/>
      <c r="K476" s="19" t="str">
        <f t="shared" si="22"/>
        <v/>
      </c>
      <c r="L476" s="16"/>
      <c r="M476" s="16"/>
      <c r="N476" s="16"/>
      <c r="O476" s="20" t="str">
        <f t="shared" ca="1" si="23"/>
        <v/>
      </c>
      <c r="P476" s="16"/>
    </row>
    <row r="477" spans="1:16" x14ac:dyDescent="0.3">
      <c r="A477" s="15" t="str">
        <f t="shared" si="21"/>
        <v/>
      </c>
      <c r="B477" s="16"/>
      <c r="C477" s="16"/>
      <c r="D477" s="16"/>
      <c r="E477" s="17"/>
      <c r="F477" s="16"/>
      <c r="G477" s="16"/>
      <c r="H477" s="16"/>
      <c r="I477" s="18"/>
      <c r="J477" s="18"/>
      <c r="K477" s="19" t="str">
        <f t="shared" si="22"/>
        <v/>
      </c>
      <c r="L477" s="16"/>
      <c r="M477" s="16"/>
      <c r="N477" s="16"/>
      <c r="O477" s="20" t="str">
        <f t="shared" ca="1" si="23"/>
        <v/>
      </c>
      <c r="P477" s="16"/>
    </row>
    <row r="478" spans="1:16" x14ac:dyDescent="0.3">
      <c r="A478" s="15" t="str">
        <f t="shared" si="21"/>
        <v/>
      </c>
      <c r="B478" s="16"/>
      <c r="C478" s="16"/>
      <c r="D478" s="16"/>
      <c r="E478" s="17"/>
      <c r="F478" s="16"/>
      <c r="G478" s="16"/>
      <c r="H478" s="16"/>
      <c r="I478" s="18"/>
      <c r="J478" s="18"/>
      <c r="K478" s="19" t="str">
        <f t="shared" si="22"/>
        <v/>
      </c>
      <c r="L478" s="16"/>
      <c r="M478" s="16"/>
      <c r="N478" s="16"/>
      <c r="O478" s="20" t="str">
        <f t="shared" ca="1" si="23"/>
        <v/>
      </c>
      <c r="P478" s="16"/>
    </row>
    <row r="479" spans="1:16" x14ac:dyDescent="0.3">
      <c r="A479" s="15" t="str">
        <f t="shared" si="21"/>
        <v/>
      </c>
      <c r="B479" s="16"/>
      <c r="C479" s="16"/>
      <c r="D479" s="16"/>
      <c r="E479" s="17"/>
      <c r="F479" s="16"/>
      <c r="G479" s="16"/>
      <c r="H479" s="16"/>
      <c r="I479" s="18"/>
      <c r="J479" s="18"/>
      <c r="K479" s="19" t="str">
        <f t="shared" si="22"/>
        <v/>
      </c>
      <c r="L479" s="16"/>
      <c r="M479" s="16"/>
      <c r="N479" s="16"/>
      <c r="O479" s="20" t="str">
        <f t="shared" ca="1" si="23"/>
        <v/>
      </c>
      <c r="P479" s="16"/>
    </row>
    <row r="480" spans="1:16" x14ac:dyDescent="0.3">
      <c r="A480" s="15" t="str">
        <f t="shared" si="21"/>
        <v/>
      </c>
      <c r="B480" s="16"/>
      <c r="C480" s="16"/>
      <c r="D480" s="16"/>
      <c r="E480" s="17"/>
      <c r="F480" s="16"/>
      <c r="G480" s="16"/>
      <c r="H480" s="16"/>
      <c r="I480" s="18"/>
      <c r="J480" s="18"/>
      <c r="K480" s="19" t="str">
        <f t="shared" si="22"/>
        <v/>
      </c>
      <c r="L480" s="16"/>
      <c r="M480" s="16"/>
      <c r="N480" s="16"/>
      <c r="O480" s="20" t="str">
        <f t="shared" ca="1" si="23"/>
        <v/>
      </c>
      <c r="P480" s="16"/>
    </row>
    <row r="481" spans="1:16" x14ac:dyDescent="0.3">
      <c r="A481" s="15" t="str">
        <f t="shared" si="21"/>
        <v/>
      </c>
      <c r="B481" s="16"/>
      <c r="C481" s="16"/>
      <c r="D481" s="16"/>
      <c r="E481" s="17"/>
      <c r="F481" s="16"/>
      <c r="G481" s="16"/>
      <c r="H481" s="16"/>
      <c r="I481" s="18"/>
      <c r="J481" s="18"/>
      <c r="K481" s="19" t="str">
        <f t="shared" si="22"/>
        <v/>
      </c>
      <c r="L481" s="16"/>
      <c r="M481" s="16"/>
      <c r="N481" s="16"/>
      <c r="O481" s="20" t="str">
        <f t="shared" ca="1" si="23"/>
        <v/>
      </c>
      <c r="P481" s="16"/>
    </row>
    <row r="482" spans="1:16" x14ac:dyDescent="0.3">
      <c r="A482" s="15" t="str">
        <f t="shared" si="21"/>
        <v/>
      </c>
      <c r="B482" s="16"/>
      <c r="C482" s="16"/>
      <c r="D482" s="16"/>
      <c r="E482" s="17"/>
      <c r="F482" s="16"/>
      <c r="G482" s="16"/>
      <c r="H482" s="16"/>
      <c r="I482" s="18"/>
      <c r="J482" s="18"/>
      <c r="K482" s="19" t="str">
        <f t="shared" si="22"/>
        <v/>
      </c>
      <c r="L482" s="16"/>
      <c r="M482" s="16"/>
      <c r="N482" s="16"/>
      <c r="O482" s="20" t="str">
        <f t="shared" ca="1" si="23"/>
        <v/>
      </c>
      <c r="P482" s="16"/>
    </row>
    <row r="483" spans="1:16" x14ac:dyDescent="0.3">
      <c r="A483" s="15" t="str">
        <f t="shared" si="21"/>
        <v/>
      </c>
      <c r="B483" s="16"/>
      <c r="C483" s="16"/>
      <c r="D483" s="16"/>
      <c r="E483" s="17"/>
      <c r="F483" s="16"/>
      <c r="G483" s="16"/>
      <c r="H483" s="16"/>
      <c r="I483" s="18"/>
      <c r="J483" s="18"/>
      <c r="K483" s="19" t="str">
        <f t="shared" si="22"/>
        <v/>
      </c>
      <c r="L483" s="16"/>
      <c r="M483" s="16"/>
      <c r="N483" s="16"/>
      <c r="O483" s="20" t="str">
        <f t="shared" ca="1" si="23"/>
        <v/>
      </c>
      <c r="P483" s="16"/>
    </row>
    <row r="484" spans="1:16" x14ac:dyDescent="0.3">
      <c r="A484" s="15" t="str">
        <f t="shared" si="21"/>
        <v/>
      </c>
      <c r="B484" s="16"/>
      <c r="C484" s="16"/>
      <c r="D484" s="16"/>
      <c r="E484" s="17"/>
      <c r="F484" s="16"/>
      <c r="G484" s="16"/>
      <c r="H484" s="16"/>
      <c r="I484" s="18"/>
      <c r="J484" s="18"/>
      <c r="K484" s="19" t="str">
        <f t="shared" si="22"/>
        <v/>
      </c>
      <c r="L484" s="16"/>
      <c r="M484" s="16"/>
      <c r="N484" s="16"/>
      <c r="O484" s="20" t="str">
        <f t="shared" ca="1" si="23"/>
        <v/>
      </c>
      <c r="P484" s="16"/>
    </row>
    <row r="485" spans="1:16" x14ac:dyDescent="0.3">
      <c r="A485" s="15" t="str">
        <f t="shared" si="21"/>
        <v/>
      </c>
      <c r="B485" s="16"/>
      <c r="C485" s="16"/>
      <c r="D485" s="16"/>
      <c r="E485" s="17"/>
      <c r="F485" s="16"/>
      <c r="G485" s="16"/>
      <c r="H485" s="16"/>
      <c r="I485" s="18"/>
      <c r="J485" s="18"/>
      <c r="K485" s="19" t="str">
        <f t="shared" si="22"/>
        <v/>
      </c>
      <c r="L485" s="16"/>
      <c r="M485" s="16"/>
      <c r="N485" s="16"/>
      <c r="O485" s="20" t="str">
        <f t="shared" ca="1" si="23"/>
        <v/>
      </c>
      <c r="P485" s="16"/>
    </row>
    <row r="486" spans="1:16" x14ac:dyDescent="0.3">
      <c r="A486" s="15" t="str">
        <f t="shared" si="21"/>
        <v/>
      </c>
      <c r="B486" s="16"/>
      <c r="C486" s="16"/>
      <c r="D486" s="16"/>
      <c r="E486" s="17"/>
      <c r="F486" s="16"/>
      <c r="G486" s="16"/>
      <c r="H486" s="16"/>
      <c r="I486" s="18"/>
      <c r="J486" s="18"/>
      <c r="K486" s="19" t="str">
        <f t="shared" si="22"/>
        <v/>
      </c>
      <c r="L486" s="16"/>
      <c r="M486" s="16"/>
      <c r="N486" s="16"/>
      <c r="O486" s="20" t="str">
        <f t="shared" ca="1" si="23"/>
        <v/>
      </c>
      <c r="P486" s="16"/>
    </row>
    <row r="487" spans="1:16" x14ac:dyDescent="0.3">
      <c r="A487" s="15" t="str">
        <f t="shared" si="21"/>
        <v/>
      </c>
      <c r="B487" s="16"/>
      <c r="C487" s="16"/>
      <c r="D487" s="16"/>
      <c r="E487" s="17"/>
      <c r="F487" s="16"/>
      <c r="G487" s="16"/>
      <c r="H487" s="16"/>
      <c r="I487" s="18"/>
      <c r="J487" s="18"/>
      <c r="K487" s="19" t="str">
        <f t="shared" si="22"/>
        <v/>
      </c>
      <c r="L487" s="16"/>
      <c r="M487" s="16"/>
      <c r="N487" s="16"/>
      <c r="O487" s="20" t="str">
        <f t="shared" ca="1" si="23"/>
        <v/>
      </c>
      <c r="P487" s="16"/>
    </row>
    <row r="488" spans="1:16" x14ac:dyDescent="0.3">
      <c r="A488" s="15" t="str">
        <f t="shared" si="21"/>
        <v/>
      </c>
      <c r="B488" s="16"/>
      <c r="C488" s="16"/>
      <c r="D488" s="16"/>
      <c r="E488" s="17"/>
      <c r="F488" s="16"/>
      <c r="G488" s="16"/>
      <c r="H488" s="16"/>
      <c r="I488" s="18"/>
      <c r="J488" s="18"/>
      <c r="K488" s="19" t="str">
        <f t="shared" si="22"/>
        <v/>
      </c>
      <c r="L488" s="16"/>
      <c r="M488" s="16"/>
      <c r="N488" s="16"/>
      <c r="O488" s="20" t="str">
        <f t="shared" ca="1" si="23"/>
        <v/>
      </c>
      <c r="P488" s="16"/>
    </row>
    <row r="489" spans="1:16" x14ac:dyDescent="0.3">
      <c r="A489" s="15" t="str">
        <f t="shared" si="21"/>
        <v/>
      </c>
      <c r="B489" s="16"/>
      <c r="C489" s="16"/>
      <c r="D489" s="16"/>
      <c r="E489" s="17"/>
      <c r="F489" s="16"/>
      <c r="G489" s="16"/>
      <c r="H489" s="16"/>
      <c r="I489" s="18"/>
      <c r="J489" s="18"/>
      <c r="K489" s="19" t="str">
        <f t="shared" si="22"/>
        <v/>
      </c>
      <c r="L489" s="16"/>
      <c r="M489" s="16"/>
      <c r="N489" s="16"/>
      <c r="O489" s="20" t="str">
        <f t="shared" ca="1" si="23"/>
        <v/>
      </c>
      <c r="P489" s="16"/>
    </row>
    <row r="490" spans="1:16" x14ac:dyDescent="0.3">
      <c r="A490" s="15" t="str">
        <f t="shared" si="21"/>
        <v/>
      </c>
      <c r="B490" s="16"/>
      <c r="C490" s="16"/>
      <c r="D490" s="16"/>
      <c r="E490" s="17"/>
      <c r="F490" s="16"/>
      <c r="G490" s="16"/>
      <c r="H490" s="16"/>
      <c r="I490" s="18"/>
      <c r="J490" s="18"/>
      <c r="K490" s="19" t="str">
        <f t="shared" si="22"/>
        <v/>
      </c>
      <c r="L490" s="16"/>
      <c r="M490" s="16"/>
      <c r="N490" s="16"/>
      <c r="O490" s="20" t="str">
        <f t="shared" ca="1" si="23"/>
        <v/>
      </c>
      <c r="P490" s="16"/>
    </row>
    <row r="491" spans="1:16" x14ac:dyDescent="0.3">
      <c r="A491" s="15" t="str">
        <f t="shared" si="21"/>
        <v/>
      </c>
      <c r="B491" s="16"/>
      <c r="C491" s="16"/>
      <c r="D491" s="16"/>
      <c r="E491" s="17"/>
      <c r="F491" s="16"/>
      <c r="G491" s="16"/>
      <c r="H491" s="16"/>
      <c r="I491" s="18"/>
      <c r="J491" s="18"/>
      <c r="K491" s="19" t="str">
        <f t="shared" si="22"/>
        <v/>
      </c>
      <c r="L491" s="16"/>
      <c r="M491" s="16"/>
      <c r="N491" s="16"/>
      <c r="O491" s="20" t="str">
        <f t="shared" ca="1" si="23"/>
        <v/>
      </c>
      <c r="P491" s="16"/>
    </row>
    <row r="492" spans="1:16" x14ac:dyDescent="0.3">
      <c r="A492" s="15" t="str">
        <f t="shared" si="21"/>
        <v/>
      </c>
      <c r="B492" s="16"/>
      <c r="C492" s="16"/>
      <c r="D492" s="16"/>
      <c r="E492" s="17"/>
      <c r="F492" s="16"/>
      <c r="G492" s="16"/>
      <c r="H492" s="16"/>
      <c r="I492" s="18"/>
      <c r="J492" s="18"/>
      <c r="K492" s="19" t="str">
        <f t="shared" si="22"/>
        <v/>
      </c>
      <c r="L492" s="16"/>
      <c r="M492" s="16"/>
      <c r="N492" s="16"/>
      <c r="O492" s="20" t="str">
        <f t="shared" ca="1" si="23"/>
        <v/>
      </c>
      <c r="P492" s="16"/>
    </row>
    <row r="493" spans="1:16" x14ac:dyDescent="0.3">
      <c r="A493" s="15" t="str">
        <f t="shared" si="21"/>
        <v/>
      </c>
      <c r="B493" s="16"/>
      <c r="C493" s="16"/>
      <c r="D493" s="16"/>
      <c r="E493" s="17"/>
      <c r="F493" s="16"/>
      <c r="G493" s="16"/>
      <c r="H493" s="16"/>
      <c r="I493" s="18"/>
      <c r="J493" s="18"/>
      <c r="K493" s="19" t="str">
        <f t="shared" si="22"/>
        <v/>
      </c>
      <c r="L493" s="16"/>
      <c r="M493" s="16"/>
      <c r="N493" s="16"/>
      <c r="O493" s="20" t="str">
        <f t="shared" ca="1" si="23"/>
        <v/>
      </c>
      <c r="P493" s="16"/>
    </row>
    <row r="494" spans="1:16" x14ac:dyDescent="0.3">
      <c r="A494" s="15" t="str">
        <f t="shared" si="21"/>
        <v/>
      </c>
      <c r="B494" s="16"/>
      <c r="C494" s="16"/>
      <c r="D494" s="16"/>
      <c r="E494" s="17"/>
      <c r="F494" s="16"/>
      <c r="G494" s="16"/>
      <c r="H494" s="16"/>
      <c r="I494" s="18"/>
      <c r="J494" s="18"/>
      <c r="K494" s="19" t="str">
        <f t="shared" si="22"/>
        <v/>
      </c>
      <c r="L494" s="16"/>
      <c r="M494" s="16"/>
      <c r="N494" s="16"/>
      <c r="O494" s="20" t="str">
        <f t="shared" ca="1" si="23"/>
        <v/>
      </c>
      <c r="P494" s="16"/>
    </row>
    <row r="495" spans="1:16" x14ac:dyDescent="0.3">
      <c r="A495" s="15" t="str">
        <f t="shared" si="21"/>
        <v/>
      </c>
      <c r="B495" s="16"/>
      <c r="C495" s="16"/>
      <c r="D495" s="16"/>
      <c r="E495" s="17"/>
      <c r="F495" s="16"/>
      <c r="G495" s="16"/>
      <c r="H495" s="16"/>
      <c r="I495" s="18"/>
      <c r="J495" s="18"/>
      <c r="K495" s="19" t="str">
        <f t="shared" si="22"/>
        <v/>
      </c>
      <c r="L495" s="16"/>
      <c r="M495" s="16"/>
      <c r="N495" s="16"/>
      <c r="O495" s="20" t="str">
        <f t="shared" ca="1" si="23"/>
        <v/>
      </c>
      <c r="P495" s="16"/>
    </row>
    <row r="496" spans="1:16" x14ac:dyDescent="0.3">
      <c r="A496" s="15" t="str">
        <f t="shared" si="21"/>
        <v/>
      </c>
      <c r="B496" s="16"/>
      <c r="C496" s="16"/>
      <c r="D496" s="16"/>
      <c r="E496" s="17"/>
      <c r="F496" s="16"/>
      <c r="G496" s="16"/>
      <c r="H496" s="16"/>
      <c r="I496" s="18"/>
      <c r="J496" s="18"/>
      <c r="K496" s="19" t="str">
        <f t="shared" si="22"/>
        <v/>
      </c>
      <c r="L496" s="16"/>
      <c r="M496" s="16"/>
      <c r="N496" s="16"/>
      <c r="O496" s="20" t="str">
        <f t="shared" ca="1" si="23"/>
        <v/>
      </c>
      <c r="P496" s="16"/>
    </row>
    <row r="497" spans="1:16" x14ac:dyDescent="0.3">
      <c r="A497" s="15" t="str">
        <f t="shared" si="21"/>
        <v/>
      </c>
      <c r="B497" s="16"/>
      <c r="C497" s="16"/>
      <c r="D497" s="16"/>
      <c r="E497" s="17"/>
      <c r="F497" s="16"/>
      <c r="G497" s="16"/>
      <c r="H497" s="16"/>
      <c r="I497" s="18"/>
      <c r="J497" s="18"/>
      <c r="K497" s="19" t="str">
        <f t="shared" si="22"/>
        <v/>
      </c>
      <c r="L497" s="16"/>
      <c r="M497" s="16"/>
      <c r="N497" s="16"/>
      <c r="O497" s="20" t="str">
        <f t="shared" ca="1" si="23"/>
        <v/>
      </c>
      <c r="P497" s="16"/>
    </row>
    <row r="498" spans="1:16" x14ac:dyDescent="0.3">
      <c r="A498" s="15" t="str">
        <f t="shared" si="21"/>
        <v/>
      </c>
      <c r="B498" s="16"/>
      <c r="C498" s="16"/>
      <c r="D498" s="16"/>
      <c r="E498" s="17"/>
      <c r="F498" s="16"/>
      <c r="G498" s="16"/>
      <c r="H498" s="16"/>
      <c r="I498" s="18"/>
      <c r="J498" s="18"/>
      <c r="K498" s="19" t="str">
        <f t="shared" si="22"/>
        <v/>
      </c>
      <c r="L498" s="16"/>
      <c r="M498" s="16"/>
      <c r="N498" s="16"/>
      <c r="O498" s="20" t="str">
        <f t="shared" ca="1" si="23"/>
        <v/>
      </c>
      <c r="P498" s="16"/>
    </row>
    <row r="499" spans="1:16" x14ac:dyDescent="0.3">
      <c r="A499" s="15" t="str">
        <f t="shared" si="21"/>
        <v/>
      </c>
      <c r="B499" s="16"/>
      <c r="C499" s="16"/>
      <c r="D499" s="16"/>
      <c r="E499" s="17"/>
      <c r="F499" s="16"/>
      <c r="G499" s="16"/>
      <c r="H499" s="16"/>
      <c r="I499" s="18"/>
      <c r="J499" s="18"/>
      <c r="K499" s="19" t="str">
        <f t="shared" si="22"/>
        <v/>
      </c>
      <c r="L499" s="16"/>
      <c r="M499" s="16"/>
      <c r="N499" s="16"/>
      <c r="O499" s="20" t="str">
        <f t="shared" ca="1" si="23"/>
        <v/>
      </c>
      <c r="P499" s="16"/>
    </row>
    <row r="500" spans="1:16" x14ac:dyDescent="0.3">
      <c r="A500" s="15" t="str">
        <f t="shared" si="21"/>
        <v/>
      </c>
      <c r="B500" s="16"/>
      <c r="C500" s="16"/>
      <c r="D500" s="16"/>
      <c r="E500" s="17"/>
      <c r="F500" s="16"/>
      <c r="G500" s="16"/>
      <c r="H500" s="16"/>
      <c r="I500" s="18"/>
      <c r="J500" s="18"/>
      <c r="K500" s="19" t="str">
        <f t="shared" si="22"/>
        <v/>
      </c>
      <c r="L500" s="16"/>
      <c r="M500" s="16"/>
      <c r="N500" s="16"/>
      <c r="O500" s="20" t="str">
        <f t="shared" ca="1" si="23"/>
        <v/>
      </c>
      <c r="P500" s="16"/>
    </row>
    <row r="501" spans="1:16" x14ac:dyDescent="0.3">
      <c r="A501" s="15" t="str">
        <f t="shared" si="21"/>
        <v/>
      </c>
      <c r="B501" s="16"/>
      <c r="C501" s="16"/>
      <c r="D501" s="16"/>
      <c r="E501" s="17"/>
      <c r="F501" s="16"/>
      <c r="G501" s="16"/>
      <c r="H501" s="16"/>
      <c r="I501" s="18"/>
      <c r="J501" s="18"/>
      <c r="K501" s="19" t="str">
        <f t="shared" si="22"/>
        <v/>
      </c>
      <c r="L501" s="16"/>
      <c r="M501" s="16"/>
      <c r="N501" s="16"/>
      <c r="O501" s="20" t="str">
        <f t="shared" ca="1" si="23"/>
        <v/>
      </c>
      <c r="P501" s="16"/>
    </row>
  </sheetData>
  <sheetProtection formatCells="0" formatColumns="0" formatRows="0" selectLockedCells="1" sort="0" autoFilter="0"/>
  <autoFilter ref="A1:P501" xr:uid="{00000000-0009-0000-0000-000001000000}"/>
  <dataValidations count="5">
    <dataValidation type="list" allowBlank="1" showErrorMessage="1" errorTitle="Invalid entry" error="Choose a value from the dropdown list." promptTitle="Dropdown" prompt="Select from the list." sqref="D2:D501" xr:uid="{00000000-0002-0000-0100-000000000000}">
      <formula1>JobTypeList</formula1>
    </dataValidation>
    <dataValidation type="list" allowBlank="1" showErrorMessage="1" errorTitle="Invalid entry" error="Choose a value from the dropdown list." promptTitle="Dropdown" prompt="Select from the list." sqref="G2:G501" xr:uid="{00000000-0002-0000-0100-000001000000}">
      <formula1>JobStatusList</formula1>
    </dataValidation>
    <dataValidation type="list" allowBlank="1" showErrorMessage="1" errorTitle="Invalid entry" error="Choose a value from the dropdown list." promptTitle="Dropdown" prompt="Select from the list." sqref="H2:H501" xr:uid="{00000000-0002-0000-0100-000002000000}">
      <formula1>PaymentStatusList</formula1>
    </dataValidation>
    <dataValidation type="list" allowBlank="1" showErrorMessage="1" errorTitle="Invalid entry" error="Choose a value from the dropdown list." promptTitle="Dropdown" prompt="Select from the list." sqref="N2:N501" xr:uid="{00000000-0002-0000-0100-000003000000}">
      <formula1>ClientSourceList</formula1>
    </dataValidation>
    <dataValidation type="list" allowBlank="1" errorTitle="Invalid entry" error="Choose a value from the dropdown list." promptTitle="Staff list" prompt="Choose one staff member, or type multiple names separated by comma/semicolon." sqref="L2:M501" xr:uid="{00000000-0002-0000-0100-000004000000}">
      <formula1>StaffList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J501"/>
  <sheetViews>
    <sheetView showGridLines="0" workbookViewId="0">
      <pane ySplit="1" topLeftCell="A2" activePane="bottomLeft" state="frozen"/>
      <selection pane="bottomLeft" activeCell="J5" sqref="J5"/>
    </sheetView>
  </sheetViews>
  <sheetFormatPr defaultRowHeight="14.4" x14ac:dyDescent="0.3"/>
  <cols>
    <col min="1" max="1" width="15.5546875" style="14" bestFit="1" customWidth="1"/>
    <col min="2" max="2" width="10.77734375" style="14" bestFit="1" customWidth="1"/>
    <col min="3" max="3" width="22" style="14" customWidth="1"/>
    <col min="4" max="4" width="17.88671875" style="14" bestFit="1" customWidth="1"/>
    <col min="5" max="5" width="16.77734375" style="14" customWidth="1"/>
    <col min="6" max="6" width="15.33203125" style="14" customWidth="1"/>
    <col min="7" max="7" width="19.77734375" style="14" customWidth="1"/>
    <col min="8" max="8" width="19" style="14" customWidth="1"/>
    <col min="9" max="9" width="15.77734375" style="14" bestFit="1" customWidth="1"/>
    <col min="10" max="10" width="46.88671875" style="14" customWidth="1"/>
    <col min="11" max="16384" width="8.88671875" style="14"/>
  </cols>
  <sheetData>
    <row r="1" spans="1:10" x14ac:dyDescent="0.3">
      <c r="A1" s="13" t="s">
        <v>37</v>
      </c>
      <c r="B1" s="13" t="s">
        <v>21</v>
      </c>
      <c r="C1" s="13" t="s">
        <v>22</v>
      </c>
      <c r="D1" s="13" t="s">
        <v>38</v>
      </c>
      <c r="E1" s="13" t="s">
        <v>39</v>
      </c>
      <c r="F1" s="13" t="s">
        <v>40</v>
      </c>
      <c r="G1" s="13" t="s">
        <v>28</v>
      </c>
      <c r="H1" s="13" t="s">
        <v>41</v>
      </c>
      <c r="I1" s="13" t="s">
        <v>42</v>
      </c>
      <c r="J1" s="13" t="s">
        <v>36</v>
      </c>
    </row>
    <row r="2" spans="1:10" x14ac:dyDescent="0.3">
      <c r="A2" s="15" t="str">
        <f t="shared" ref="A2:A65" si="0">IF(B2="","","PAY-"&amp;TEXT(ROW()-1,"0000"))</f>
        <v>PAY-0001</v>
      </c>
      <c r="B2" s="16" t="s">
        <v>88</v>
      </c>
      <c r="C2" s="15" t="str">
        <f>IF($B2="","",IFERROR(INDEX(Jobs!$B$2:$B$501,MATCH($B2,Jobs!$A$2:$A$501,0)),""))</f>
        <v>Isna &amp; Edrika</v>
      </c>
      <c r="D2" s="17">
        <v>46188</v>
      </c>
      <c r="E2" s="18">
        <v>1600000</v>
      </c>
      <c r="F2" s="16" t="s">
        <v>57</v>
      </c>
      <c r="G2" s="16" t="s">
        <v>95</v>
      </c>
      <c r="H2" s="19">
        <f>IF($B2="","",IFERROR(INDEX(Jobs!$I$2:$I$501,MATCH($B2,Jobs!$A$2:$A$501,0)),""))</f>
        <v>1600000</v>
      </c>
      <c r="I2" s="19">
        <f>IF($B2="","",IFERROR(INDEX(Jobs!$K$2:$K$501,MATCH($B2,Jobs!$A$2:$A$501,0)),""))</f>
        <v>0</v>
      </c>
      <c r="J2" s="16"/>
    </row>
    <row r="3" spans="1:10" x14ac:dyDescent="0.3">
      <c r="A3" s="15" t="str">
        <f t="shared" si="0"/>
        <v/>
      </c>
      <c r="B3" s="16"/>
      <c r="C3" s="15" t="str">
        <f>IF($B3="","",IFERROR(INDEX(Jobs!$B$2:$B$501,MATCH($B3,Jobs!$A$2:$A$501,0)),""))</f>
        <v/>
      </c>
      <c r="D3" s="17"/>
      <c r="E3" s="18"/>
      <c r="F3" s="16"/>
      <c r="G3" s="16"/>
      <c r="H3" s="19" t="str">
        <f>IF($B3="","",IFERROR(INDEX(Jobs!$I$2:$I$501,MATCH($B3,Jobs!$A$2:$A$501,0)),""))</f>
        <v/>
      </c>
      <c r="I3" s="19" t="str">
        <f>IF($B3="","",IFERROR(INDEX(Jobs!$K$2:$K$501,MATCH($B3,Jobs!$A$2:$A$501,0)),""))</f>
        <v/>
      </c>
      <c r="J3" s="16"/>
    </row>
    <row r="4" spans="1:10" x14ac:dyDescent="0.3">
      <c r="A4" s="15" t="str">
        <f t="shared" si="0"/>
        <v/>
      </c>
      <c r="B4" s="16"/>
      <c r="C4" s="15" t="str">
        <f>IF($B4="","",IFERROR(INDEX(Jobs!$B$2:$B$501,MATCH($B4,Jobs!$A$2:$A$501,0)),""))</f>
        <v/>
      </c>
      <c r="D4" s="17"/>
      <c r="E4" s="18"/>
      <c r="F4" s="16"/>
      <c r="G4" s="16"/>
      <c r="H4" s="19" t="str">
        <f>IF($B4="","",IFERROR(INDEX(Jobs!$I$2:$I$501,MATCH($B4,Jobs!$A$2:$A$501,0)),""))</f>
        <v/>
      </c>
      <c r="I4" s="19" t="str">
        <f>IF($B4="","",IFERROR(INDEX(Jobs!$K$2:$K$501,MATCH($B4,Jobs!$A$2:$A$501,0)),""))</f>
        <v/>
      </c>
      <c r="J4" s="16"/>
    </row>
    <row r="5" spans="1:10" x14ac:dyDescent="0.3">
      <c r="A5" s="15" t="str">
        <f t="shared" si="0"/>
        <v/>
      </c>
      <c r="B5" s="16"/>
      <c r="C5" s="15" t="str">
        <f>IF($B5="","",IFERROR(INDEX(Jobs!$B$2:$B$501,MATCH($B5,Jobs!$A$2:$A$501,0)),""))</f>
        <v/>
      </c>
      <c r="D5" s="17"/>
      <c r="E5" s="18"/>
      <c r="F5" s="16"/>
      <c r="G5" s="16"/>
      <c r="H5" s="19" t="str">
        <f>IF($B5="","",IFERROR(INDEX(Jobs!$I$2:$I$501,MATCH($B5,Jobs!$A$2:$A$501,0)),""))</f>
        <v/>
      </c>
      <c r="I5" s="19" t="str">
        <f>IF($B5="","",IFERROR(INDEX(Jobs!$K$2:$K$501,MATCH($B5,Jobs!$A$2:$A$501,0)),""))</f>
        <v/>
      </c>
      <c r="J5" s="16"/>
    </row>
    <row r="6" spans="1:10" x14ac:dyDescent="0.3">
      <c r="A6" s="15" t="str">
        <f t="shared" si="0"/>
        <v/>
      </c>
      <c r="B6" s="16"/>
      <c r="C6" s="15" t="str">
        <f>IF($B6="","",IFERROR(INDEX(Jobs!$B$2:$B$501,MATCH($B6,Jobs!$A$2:$A$501,0)),""))</f>
        <v/>
      </c>
      <c r="D6" s="17"/>
      <c r="E6" s="18"/>
      <c r="F6" s="16"/>
      <c r="G6" s="16"/>
      <c r="H6" s="19" t="str">
        <f>IF($B6="","",IFERROR(INDEX(Jobs!$I$2:$I$501,MATCH($B6,Jobs!$A$2:$A$501,0)),""))</f>
        <v/>
      </c>
      <c r="I6" s="19" t="str">
        <f>IF($B6="","",IFERROR(INDEX(Jobs!$K$2:$K$501,MATCH($B6,Jobs!$A$2:$A$501,0)),""))</f>
        <v/>
      </c>
      <c r="J6" s="16"/>
    </row>
    <row r="7" spans="1:10" x14ac:dyDescent="0.3">
      <c r="A7" s="15" t="str">
        <f t="shared" si="0"/>
        <v/>
      </c>
      <c r="B7" s="16"/>
      <c r="C7" s="15" t="str">
        <f>IF($B7="","",IFERROR(INDEX(Jobs!$B$2:$B$501,MATCH($B7,Jobs!$A$2:$A$501,0)),""))</f>
        <v/>
      </c>
      <c r="D7" s="17"/>
      <c r="E7" s="18"/>
      <c r="F7" s="16"/>
      <c r="G7" s="16"/>
      <c r="H7" s="19" t="str">
        <f>IF($B7="","",IFERROR(INDEX(Jobs!$I$2:$I$501,MATCH($B7,Jobs!$A$2:$A$501,0)),""))</f>
        <v/>
      </c>
      <c r="I7" s="19" t="str">
        <f>IF($B7="","",IFERROR(INDEX(Jobs!$K$2:$K$501,MATCH($B7,Jobs!$A$2:$A$501,0)),""))</f>
        <v/>
      </c>
      <c r="J7" s="16"/>
    </row>
    <row r="8" spans="1:10" x14ac:dyDescent="0.3">
      <c r="A8" s="15" t="str">
        <f t="shared" si="0"/>
        <v/>
      </c>
      <c r="B8" s="16"/>
      <c r="C8" s="15" t="str">
        <f>IF($B8="","",IFERROR(INDEX(Jobs!$B$2:$B$501,MATCH($B8,Jobs!$A$2:$A$501,0)),""))</f>
        <v/>
      </c>
      <c r="D8" s="17"/>
      <c r="E8" s="18"/>
      <c r="F8" s="16"/>
      <c r="G8" s="16"/>
      <c r="H8" s="19" t="str">
        <f>IF($B8="","",IFERROR(INDEX(Jobs!$I$2:$I$501,MATCH($B8,Jobs!$A$2:$A$501,0)),""))</f>
        <v/>
      </c>
      <c r="I8" s="19" t="str">
        <f>IF($B8="","",IFERROR(INDEX(Jobs!$K$2:$K$501,MATCH($B8,Jobs!$A$2:$A$501,0)),""))</f>
        <v/>
      </c>
      <c r="J8" s="16"/>
    </row>
    <row r="9" spans="1:10" x14ac:dyDescent="0.3">
      <c r="A9" s="15" t="str">
        <f t="shared" si="0"/>
        <v/>
      </c>
      <c r="B9" s="16"/>
      <c r="C9" s="15" t="str">
        <f>IF($B9="","",IFERROR(INDEX(Jobs!$B$2:$B$501,MATCH($B9,Jobs!$A$2:$A$501,0)),""))</f>
        <v/>
      </c>
      <c r="D9" s="17"/>
      <c r="E9" s="18"/>
      <c r="F9" s="16"/>
      <c r="G9" s="16"/>
      <c r="H9" s="19" t="str">
        <f>IF($B9="","",IFERROR(INDEX(Jobs!$I$2:$I$501,MATCH($B9,Jobs!$A$2:$A$501,0)),""))</f>
        <v/>
      </c>
      <c r="I9" s="19" t="str">
        <f>IF($B9="","",IFERROR(INDEX(Jobs!$K$2:$K$501,MATCH($B9,Jobs!$A$2:$A$501,0)),""))</f>
        <v/>
      </c>
      <c r="J9" s="16"/>
    </row>
    <row r="10" spans="1:10" x14ac:dyDescent="0.3">
      <c r="A10" s="15" t="str">
        <f t="shared" si="0"/>
        <v/>
      </c>
      <c r="B10" s="16"/>
      <c r="C10" s="15" t="str">
        <f>IF($B10="","",IFERROR(INDEX(Jobs!$B$2:$B$501,MATCH($B10,Jobs!$A$2:$A$501,0)),""))</f>
        <v/>
      </c>
      <c r="D10" s="17"/>
      <c r="E10" s="18"/>
      <c r="F10" s="16"/>
      <c r="G10" s="16"/>
      <c r="H10" s="19" t="str">
        <f>IF($B10="","",IFERROR(INDEX(Jobs!$I$2:$I$501,MATCH($B10,Jobs!$A$2:$A$501,0)),""))</f>
        <v/>
      </c>
      <c r="I10" s="19" t="str">
        <f>IF($B10="","",IFERROR(INDEX(Jobs!$K$2:$K$501,MATCH($B10,Jobs!$A$2:$A$501,0)),""))</f>
        <v/>
      </c>
      <c r="J10" s="16"/>
    </row>
    <row r="11" spans="1:10" x14ac:dyDescent="0.3">
      <c r="A11" s="15" t="str">
        <f t="shared" si="0"/>
        <v/>
      </c>
      <c r="B11" s="16"/>
      <c r="C11" s="15" t="str">
        <f>IF($B11="","",IFERROR(INDEX(Jobs!$B$2:$B$501,MATCH($B11,Jobs!$A$2:$A$501,0)),""))</f>
        <v/>
      </c>
      <c r="D11" s="17"/>
      <c r="E11" s="18"/>
      <c r="F11" s="16"/>
      <c r="G11" s="16"/>
      <c r="H11" s="19" t="str">
        <f>IF($B11="","",IFERROR(INDEX(Jobs!$I$2:$I$501,MATCH($B11,Jobs!$A$2:$A$501,0)),""))</f>
        <v/>
      </c>
      <c r="I11" s="19" t="str">
        <f>IF($B11="","",IFERROR(INDEX(Jobs!$K$2:$K$501,MATCH($B11,Jobs!$A$2:$A$501,0)),""))</f>
        <v/>
      </c>
      <c r="J11" s="16"/>
    </row>
    <row r="12" spans="1:10" x14ac:dyDescent="0.3">
      <c r="A12" s="15" t="str">
        <f t="shared" si="0"/>
        <v/>
      </c>
      <c r="B12" s="16"/>
      <c r="C12" s="15" t="str">
        <f>IF($B12="","",IFERROR(INDEX(Jobs!$B$2:$B$501,MATCH($B12,Jobs!$A$2:$A$501,0)),""))</f>
        <v/>
      </c>
      <c r="D12" s="17"/>
      <c r="E12" s="18"/>
      <c r="F12" s="16"/>
      <c r="G12" s="16"/>
      <c r="H12" s="19" t="str">
        <f>IF($B12="","",IFERROR(INDEX(Jobs!$I$2:$I$501,MATCH($B12,Jobs!$A$2:$A$501,0)),""))</f>
        <v/>
      </c>
      <c r="I12" s="19" t="str">
        <f>IF($B12="","",IFERROR(INDEX(Jobs!$K$2:$K$501,MATCH($B12,Jobs!$A$2:$A$501,0)),""))</f>
        <v/>
      </c>
      <c r="J12" s="16"/>
    </row>
    <row r="13" spans="1:10" x14ac:dyDescent="0.3">
      <c r="A13" s="15" t="str">
        <f t="shared" si="0"/>
        <v/>
      </c>
      <c r="B13" s="16"/>
      <c r="C13" s="15" t="str">
        <f>IF($B13="","",IFERROR(INDEX(Jobs!$B$2:$B$501,MATCH($B13,Jobs!$A$2:$A$501,0)),""))</f>
        <v/>
      </c>
      <c r="D13" s="17"/>
      <c r="E13" s="18"/>
      <c r="F13" s="16"/>
      <c r="G13" s="16"/>
      <c r="H13" s="19" t="str">
        <f>IF($B13="","",IFERROR(INDEX(Jobs!$I$2:$I$501,MATCH($B13,Jobs!$A$2:$A$501,0)),""))</f>
        <v/>
      </c>
      <c r="I13" s="19" t="str">
        <f>IF($B13="","",IFERROR(INDEX(Jobs!$K$2:$K$501,MATCH($B13,Jobs!$A$2:$A$501,0)),""))</f>
        <v/>
      </c>
      <c r="J13" s="16"/>
    </row>
    <row r="14" spans="1:10" x14ac:dyDescent="0.3">
      <c r="A14" s="15" t="str">
        <f t="shared" si="0"/>
        <v/>
      </c>
      <c r="B14" s="16"/>
      <c r="C14" s="15" t="str">
        <f>IF($B14="","",IFERROR(INDEX(Jobs!$B$2:$B$501,MATCH($B14,Jobs!$A$2:$A$501,0)),""))</f>
        <v/>
      </c>
      <c r="D14" s="17"/>
      <c r="E14" s="18"/>
      <c r="F14" s="16"/>
      <c r="G14" s="16"/>
      <c r="H14" s="19" t="str">
        <f>IF($B14="","",IFERROR(INDEX(Jobs!$I$2:$I$501,MATCH($B14,Jobs!$A$2:$A$501,0)),""))</f>
        <v/>
      </c>
      <c r="I14" s="19" t="str">
        <f>IF($B14="","",IFERROR(INDEX(Jobs!$K$2:$K$501,MATCH($B14,Jobs!$A$2:$A$501,0)),""))</f>
        <v/>
      </c>
      <c r="J14" s="16"/>
    </row>
    <row r="15" spans="1:10" x14ac:dyDescent="0.3">
      <c r="A15" s="15" t="str">
        <f t="shared" si="0"/>
        <v/>
      </c>
      <c r="B15" s="16"/>
      <c r="C15" s="15" t="str">
        <f>IF($B15="","",IFERROR(INDEX(Jobs!$B$2:$B$501,MATCH($B15,Jobs!$A$2:$A$501,0)),""))</f>
        <v/>
      </c>
      <c r="D15" s="17"/>
      <c r="E15" s="18"/>
      <c r="F15" s="16"/>
      <c r="G15" s="16"/>
      <c r="H15" s="19" t="str">
        <f>IF($B15="","",IFERROR(INDEX(Jobs!$I$2:$I$501,MATCH($B15,Jobs!$A$2:$A$501,0)),""))</f>
        <v/>
      </c>
      <c r="I15" s="19" t="str">
        <f>IF($B15="","",IFERROR(INDEX(Jobs!$K$2:$K$501,MATCH($B15,Jobs!$A$2:$A$501,0)),""))</f>
        <v/>
      </c>
      <c r="J15" s="16"/>
    </row>
    <row r="16" spans="1:10" x14ac:dyDescent="0.3">
      <c r="A16" s="15" t="str">
        <f t="shared" si="0"/>
        <v/>
      </c>
      <c r="B16" s="16"/>
      <c r="C16" s="15" t="str">
        <f>IF($B16="","",IFERROR(INDEX(Jobs!$B$2:$B$501,MATCH($B16,Jobs!$A$2:$A$501,0)),""))</f>
        <v/>
      </c>
      <c r="D16" s="17"/>
      <c r="E16" s="18"/>
      <c r="F16" s="16"/>
      <c r="G16" s="16"/>
      <c r="H16" s="19" t="str">
        <f>IF($B16="","",IFERROR(INDEX(Jobs!$I$2:$I$501,MATCH($B16,Jobs!$A$2:$A$501,0)),""))</f>
        <v/>
      </c>
      <c r="I16" s="19" t="str">
        <f>IF($B16="","",IFERROR(INDEX(Jobs!$K$2:$K$501,MATCH($B16,Jobs!$A$2:$A$501,0)),""))</f>
        <v/>
      </c>
      <c r="J16" s="16"/>
    </row>
    <row r="17" spans="1:10" x14ac:dyDescent="0.3">
      <c r="A17" s="15" t="str">
        <f t="shared" si="0"/>
        <v/>
      </c>
      <c r="B17" s="16"/>
      <c r="C17" s="15" t="str">
        <f>IF($B17="","",IFERROR(INDEX(Jobs!$B$2:$B$501,MATCH($B17,Jobs!$A$2:$A$501,0)),""))</f>
        <v/>
      </c>
      <c r="D17" s="17"/>
      <c r="E17" s="18"/>
      <c r="F17" s="16"/>
      <c r="G17" s="16"/>
      <c r="H17" s="19" t="str">
        <f>IF($B17="","",IFERROR(INDEX(Jobs!$I$2:$I$501,MATCH($B17,Jobs!$A$2:$A$501,0)),""))</f>
        <v/>
      </c>
      <c r="I17" s="19" t="str">
        <f>IF($B17="","",IFERROR(INDEX(Jobs!$K$2:$K$501,MATCH($B17,Jobs!$A$2:$A$501,0)),""))</f>
        <v/>
      </c>
      <c r="J17" s="16"/>
    </row>
    <row r="18" spans="1:10" x14ac:dyDescent="0.3">
      <c r="A18" s="15" t="str">
        <f t="shared" si="0"/>
        <v/>
      </c>
      <c r="B18" s="16"/>
      <c r="C18" s="15" t="str">
        <f>IF($B18="","",IFERROR(INDEX(Jobs!$B$2:$B$501,MATCH($B18,Jobs!$A$2:$A$501,0)),""))</f>
        <v/>
      </c>
      <c r="D18" s="17"/>
      <c r="E18" s="18"/>
      <c r="F18" s="16"/>
      <c r="G18" s="16"/>
      <c r="H18" s="19" t="str">
        <f>IF($B18="","",IFERROR(INDEX(Jobs!$I$2:$I$501,MATCH($B18,Jobs!$A$2:$A$501,0)),""))</f>
        <v/>
      </c>
      <c r="I18" s="19" t="str">
        <f>IF($B18="","",IFERROR(INDEX(Jobs!$K$2:$K$501,MATCH($B18,Jobs!$A$2:$A$501,0)),""))</f>
        <v/>
      </c>
      <c r="J18" s="16"/>
    </row>
    <row r="19" spans="1:10" x14ac:dyDescent="0.3">
      <c r="A19" s="15" t="str">
        <f t="shared" si="0"/>
        <v/>
      </c>
      <c r="B19" s="16"/>
      <c r="C19" s="15" t="str">
        <f>IF($B19="","",IFERROR(INDEX(Jobs!$B$2:$B$501,MATCH($B19,Jobs!$A$2:$A$501,0)),""))</f>
        <v/>
      </c>
      <c r="D19" s="17"/>
      <c r="E19" s="18"/>
      <c r="F19" s="16"/>
      <c r="G19" s="16"/>
      <c r="H19" s="19" t="str">
        <f>IF($B19="","",IFERROR(INDEX(Jobs!$I$2:$I$501,MATCH($B19,Jobs!$A$2:$A$501,0)),""))</f>
        <v/>
      </c>
      <c r="I19" s="19" t="str">
        <f>IF($B19="","",IFERROR(INDEX(Jobs!$K$2:$K$501,MATCH($B19,Jobs!$A$2:$A$501,0)),""))</f>
        <v/>
      </c>
      <c r="J19" s="16"/>
    </row>
    <row r="20" spans="1:10" x14ac:dyDescent="0.3">
      <c r="A20" s="15" t="str">
        <f t="shared" si="0"/>
        <v/>
      </c>
      <c r="B20" s="16"/>
      <c r="C20" s="15" t="str">
        <f>IF($B20="","",IFERROR(INDEX(Jobs!$B$2:$B$501,MATCH($B20,Jobs!$A$2:$A$501,0)),""))</f>
        <v/>
      </c>
      <c r="D20" s="17"/>
      <c r="E20" s="18"/>
      <c r="F20" s="16"/>
      <c r="G20" s="16"/>
      <c r="H20" s="19" t="str">
        <f>IF($B20="","",IFERROR(INDEX(Jobs!$I$2:$I$501,MATCH($B20,Jobs!$A$2:$A$501,0)),""))</f>
        <v/>
      </c>
      <c r="I20" s="19" t="str">
        <f>IF($B20="","",IFERROR(INDEX(Jobs!$K$2:$K$501,MATCH($B20,Jobs!$A$2:$A$501,0)),""))</f>
        <v/>
      </c>
      <c r="J20" s="16"/>
    </row>
    <row r="21" spans="1:10" x14ac:dyDescent="0.3">
      <c r="A21" s="15" t="str">
        <f t="shared" si="0"/>
        <v/>
      </c>
      <c r="B21" s="16"/>
      <c r="C21" s="15" t="str">
        <f>IF($B21="","",IFERROR(INDEX(Jobs!$B$2:$B$501,MATCH($B21,Jobs!$A$2:$A$501,0)),""))</f>
        <v/>
      </c>
      <c r="D21" s="17"/>
      <c r="E21" s="18"/>
      <c r="F21" s="16"/>
      <c r="G21" s="16"/>
      <c r="H21" s="19" t="str">
        <f>IF($B21="","",IFERROR(INDEX(Jobs!$I$2:$I$501,MATCH($B21,Jobs!$A$2:$A$501,0)),""))</f>
        <v/>
      </c>
      <c r="I21" s="19" t="str">
        <f>IF($B21="","",IFERROR(INDEX(Jobs!$K$2:$K$501,MATCH($B21,Jobs!$A$2:$A$501,0)),""))</f>
        <v/>
      </c>
      <c r="J21" s="16"/>
    </row>
    <row r="22" spans="1:10" x14ac:dyDescent="0.3">
      <c r="A22" s="15" t="str">
        <f t="shared" si="0"/>
        <v/>
      </c>
      <c r="B22" s="16"/>
      <c r="C22" s="15" t="str">
        <f>IF($B22="","",IFERROR(INDEX(Jobs!$B$2:$B$501,MATCH($B22,Jobs!$A$2:$A$501,0)),""))</f>
        <v/>
      </c>
      <c r="D22" s="17"/>
      <c r="E22" s="18"/>
      <c r="F22" s="16"/>
      <c r="G22" s="16"/>
      <c r="H22" s="19" t="str">
        <f>IF($B22="","",IFERROR(INDEX(Jobs!$I$2:$I$501,MATCH($B22,Jobs!$A$2:$A$501,0)),""))</f>
        <v/>
      </c>
      <c r="I22" s="19" t="str">
        <f>IF($B22="","",IFERROR(INDEX(Jobs!$K$2:$K$501,MATCH($B22,Jobs!$A$2:$A$501,0)),""))</f>
        <v/>
      </c>
      <c r="J22" s="16"/>
    </row>
    <row r="23" spans="1:10" x14ac:dyDescent="0.3">
      <c r="A23" s="15" t="str">
        <f t="shared" si="0"/>
        <v/>
      </c>
      <c r="B23" s="16"/>
      <c r="C23" s="15" t="str">
        <f>IF($B23="","",IFERROR(INDEX(Jobs!$B$2:$B$501,MATCH($B23,Jobs!$A$2:$A$501,0)),""))</f>
        <v/>
      </c>
      <c r="D23" s="17"/>
      <c r="E23" s="18"/>
      <c r="F23" s="16"/>
      <c r="G23" s="16"/>
      <c r="H23" s="19" t="str">
        <f>IF($B23="","",IFERROR(INDEX(Jobs!$I$2:$I$501,MATCH($B23,Jobs!$A$2:$A$501,0)),""))</f>
        <v/>
      </c>
      <c r="I23" s="19" t="str">
        <f>IF($B23="","",IFERROR(INDEX(Jobs!$K$2:$K$501,MATCH($B23,Jobs!$A$2:$A$501,0)),""))</f>
        <v/>
      </c>
      <c r="J23" s="16"/>
    </row>
    <row r="24" spans="1:10" x14ac:dyDescent="0.3">
      <c r="A24" s="15" t="str">
        <f t="shared" si="0"/>
        <v/>
      </c>
      <c r="B24" s="16"/>
      <c r="C24" s="15" t="str">
        <f>IF($B24="","",IFERROR(INDEX(Jobs!$B$2:$B$501,MATCH($B24,Jobs!$A$2:$A$501,0)),""))</f>
        <v/>
      </c>
      <c r="D24" s="17"/>
      <c r="E24" s="18"/>
      <c r="F24" s="16"/>
      <c r="G24" s="16"/>
      <c r="H24" s="19" t="str">
        <f>IF($B24="","",IFERROR(INDEX(Jobs!$I$2:$I$501,MATCH($B24,Jobs!$A$2:$A$501,0)),""))</f>
        <v/>
      </c>
      <c r="I24" s="19" t="str">
        <f>IF($B24="","",IFERROR(INDEX(Jobs!$K$2:$K$501,MATCH($B24,Jobs!$A$2:$A$501,0)),""))</f>
        <v/>
      </c>
      <c r="J24" s="16"/>
    </row>
    <row r="25" spans="1:10" x14ac:dyDescent="0.3">
      <c r="A25" s="15" t="str">
        <f t="shared" si="0"/>
        <v/>
      </c>
      <c r="B25" s="16"/>
      <c r="C25" s="15" t="str">
        <f>IF($B25="","",IFERROR(INDEX(Jobs!$B$2:$B$501,MATCH($B25,Jobs!$A$2:$A$501,0)),""))</f>
        <v/>
      </c>
      <c r="D25" s="17"/>
      <c r="E25" s="18"/>
      <c r="F25" s="16"/>
      <c r="G25" s="16"/>
      <c r="H25" s="19" t="str">
        <f>IF($B25="","",IFERROR(INDEX(Jobs!$I$2:$I$501,MATCH($B25,Jobs!$A$2:$A$501,0)),""))</f>
        <v/>
      </c>
      <c r="I25" s="19" t="str">
        <f>IF($B25="","",IFERROR(INDEX(Jobs!$K$2:$K$501,MATCH($B25,Jobs!$A$2:$A$501,0)),""))</f>
        <v/>
      </c>
      <c r="J25" s="16"/>
    </row>
    <row r="26" spans="1:10" x14ac:dyDescent="0.3">
      <c r="A26" s="15" t="str">
        <f t="shared" si="0"/>
        <v/>
      </c>
      <c r="B26" s="16"/>
      <c r="C26" s="15" t="str">
        <f>IF($B26="","",IFERROR(INDEX(Jobs!$B$2:$B$501,MATCH($B26,Jobs!$A$2:$A$501,0)),""))</f>
        <v/>
      </c>
      <c r="D26" s="17"/>
      <c r="E26" s="18"/>
      <c r="F26" s="16"/>
      <c r="G26" s="16"/>
      <c r="H26" s="19" t="str">
        <f>IF($B26="","",IFERROR(INDEX(Jobs!$I$2:$I$501,MATCH($B26,Jobs!$A$2:$A$501,0)),""))</f>
        <v/>
      </c>
      <c r="I26" s="19" t="str">
        <f>IF($B26="","",IFERROR(INDEX(Jobs!$K$2:$K$501,MATCH($B26,Jobs!$A$2:$A$501,0)),""))</f>
        <v/>
      </c>
      <c r="J26" s="16"/>
    </row>
    <row r="27" spans="1:10" x14ac:dyDescent="0.3">
      <c r="A27" s="15" t="str">
        <f t="shared" si="0"/>
        <v/>
      </c>
      <c r="B27" s="16"/>
      <c r="C27" s="15" t="str">
        <f>IF($B27="","",IFERROR(INDEX(Jobs!$B$2:$B$501,MATCH($B27,Jobs!$A$2:$A$501,0)),""))</f>
        <v/>
      </c>
      <c r="D27" s="17"/>
      <c r="E27" s="18"/>
      <c r="F27" s="16"/>
      <c r="G27" s="16"/>
      <c r="H27" s="19" t="str">
        <f>IF($B27="","",IFERROR(INDEX(Jobs!$I$2:$I$501,MATCH($B27,Jobs!$A$2:$A$501,0)),""))</f>
        <v/>
      </c>
      <c r="I27" s="19" t="str">
        <f>IF($B27="","",IFERROR(INDEX(Jobs!$K$2:$K$501,MATCH($B27,Jobs!$A$2:$A$501,0)),""))</f>
        <v/>
      </c>
      <c r="J27" s="16"/>
    </row>
    <row r="28" spans="1:10" x14ac:dyDescent="0.3">
      <c r="A28" s="15" t="str">
        <f t="shared" si="0"/>
        <v/>
      </c>
      <c r="B28" s="16"/>
      <c r="C28" s="15" t="str">
        <f>IF($B28="","",IFERROR(INDEX(Jobs!$B$2:$B$501,MATCH($B28,Jobs!$A$2:$A$501,0)),""))</f>
        <v/>
      </c>
      <c r="D28" s="17"/>
      <c r="E28" s="18"/>
      <c r="F28" s="16"/>
      <c r="G28" s="16"/>
      <c r="H28" s="19" t="str">
        <f>IF($B28="","",IFERROR(INDEX(Jobs!$I$2:$I$501,MATCH($B28,Jobs!$A$2:$A$501,0)),""))</f>
        <v/>
      </c>
      <c r="I28" s="19" t="str">
        <f>IF($B28="","",IFERROR(INDEX(Jobs!$K$2:$K$501,MATCH($B28,Jobs!$A$2:$A$501,0)),""))</f>
        <v/>
      </c>
      <c r="J28" s="16"/>
    </row>
    <row r="29" spans="1:10" x14ac:dyDescent="0.3">
      <c r="A29" s="15" t="str">
        <f t="shared" si="0"/>
        <v/>
      </c>
      <c r="B29" s="16"/>
      <c r="C29" s="15" t="str">
        <f>IF($B29="","",IFERROR(INDEX(Jobs!$B$2:$B$501,MATCH($B29,Jobs!$A$2:$A$501,0)),""))</f>
        <v/>
      </c>
      <c r="D29" s="17"/>
      <c r="E29" s="18"/>
      <c r="F29" s="16"/>
      <c r="G29" s="16"/>
      <c r="H29" s="19" t="str">
        <f>IF($B29="","",IFERROR(INDEX(Jobs!$I$2:$I$501,MATCH($B29,Jobs!$A$2:$A$501,0)),""))</f>
        <v/>
      </c>
      <c r="I29" s="19" t="str">
        <f>IF($B29="","",IFERROR(INDEX(Jobs!$K$2:$K$501,MATCH($B29,Jobs!$A$2:$A$501,0)),""))</f>
        <v/>
      </c>
      <c r="J29" s="16"/>
    </row>
    <row r="30" spans="1:10" x14ac:dyDescent="0.3">
      <c r="A30" s="15" t="str">
        <f t="shared" si="0"/>
        <v/>
      </c>
      <c r="B30" s="16"/>
      <c r="C30" s="15" t="str">
        <f>IF($B30="","",IFERROR(INDEX(Jobs!$B$2:$B$501,MATCH($B30,Jobs!$A$2:$A$501,0)),""))</f>
        <v/>
      </c>
      <c r="D30" s="17"/>
      <c r="E30" s="18"/>
      <c r="F30" s="16"/>
      <c r="G30" s="16"/>
      <c r="H30" s="19" t="str">
        <f>IF($B30="","",IFERROR(INDEX(Jobs!$I$2:$I$501,MATCH($B30,Jobs!$A$2:$A$501,0)),""))</f>
        <v/>
      </c>
      <c r="I30" s="19" t="str">
        <f>IF($B30="","",IFERROR(INDEX(Jobs!$K$2:$K$501,MATCH($B30,Jobs!$A$2:$A$501,0)),""))</f>
        <v/>
      </c>
      <c r="J30" s="16"/>
    </row>
    <row r="31" spans="1:10" x14ac:dyDescent="0.3">
      <c r="A31" s="15" t="str">
        <f t="shared" si="0"/>
        <v/>
      </c>
      <c r="B31" s="16"/>
      <c r="C31" s="15" t="str">
        <f>IF($B31="","",IFERROR(INDEX(Jobs!$B$2:$B$501,MATCH($B31,Jobs!$A$2:$A$501,0)),""))</f>
        <v/>
      </c>
      <c r="D31" s="17"/>
      <c r="E31" s="18"/>
      <c r="F31" s="16"/>
      <c r="G31" s="16"/>
      <c r="H31" s="19" t="str">
        <f>IF($B31="","",IFERROR(INDEX(Jobs!$I$2:$I$501,MATCH($B31,Jobs!$A$2:$A$501,0)),""))</f>
        <v/>
      </c>
      <c r="I31" s="19" t="str">
        <f>IF($B31="","",IFERROR(INDEX(Jobs!$K$2:$K$501,MATCH($B31,Jobs!$A$2:$A$501,0)),""))</f>
        <v/>
      </c>
      <c r="J31" s="16"/>
    </row>
    <row r="32" spans="1:10" x14ac:dyDescent="0.3">
      <c r="A32" s="15" t="str">
        <f t="shared" si="0"/>
        <v/>
      </c>
      <c r="B32" s="16"/>
      <c r="C32" s="15" t="str">
        <f>IF($B32="","",IFERROR(INDEX(Jobs!$B$2:$B$501,MATCH($B32,Jobs!$A$2:$A$501,0)),""))</f>
        <v/>
      </c>
      <c r="D32" s="17"/>
      <c r="E32" s="18"/>
      <c r="F32" s="16"/>
      <c r="G32" s="16"/>
      <c r="H32" s="19" t="str">
        <f>IF($B32="","",IFERROR(INDEX(Jobs!$I$2:$I$501,MATCH($B32,Jobs!$A$2:$A$501,0)),""))</f>
        <v/>
      </c>
      <c r="I32" s="19" t="str">
        <f>IF($B32="","",IFERROR(INDEX(Jobs!$K$2:$K$501,MATCH($B32,Jobs!$A$2:$A$501,0)),""))</f>
        <v/>
      </c>
      <c r="J32" s="16"/>
    </row>
    <row r="33" spans="1:10" x14ac:dyDescent="0.3">
      <c r="A33" s="15" t="str">
        <f t="shared" si="0"/>
        <v/>
      </c>
      <c r="B33" s="16"/>
      <c r="C33" s="15" t="str">
        <f>IF($B33="","",IFERROR(INDEX(Jobs!$B$2:$B$501,MATCH($B33,Jobs!$A$2:$A$501,0)),""))</f>
        <v/>
      </c>
      <c r="D33" s="17"/>
      <c r="E33" s="18"/>
      <c r="F33" s="16"/>
      <c r="G33" s="16"/>
      <c r="H33" s="19" t="str">
        <f>IF($B33="","",IFERROR(INDEX(Jobs!$I$2:$I$501,MATCH($B33,Jobs!$A$2:$A$501,0)),""))</f>
        <v/>
      </c>
      <c r="I33" s="19" t="str">
        <f>IF($B33="","",IFERROR(INDEX(Jobs!$K$2:$K$501,MATCH($B33,Jobs!$A$2:$A$501,0)),""))</f>
        <v/>
      </c>
      <c r="J33" s="16"/>
    </row>
    <row r="34" spans="1:10" x14ac:dyDescent="0.3">
      <c r="A34" s="15" t="str">
        <f t="shared" si="0"/>
        <v/>
      </c>
      <c r="B34" s="16"/>
      <c r="C34" s="15" t="str">
        <f>IF($B34="","",IFERROR(INDEX(Jobs!$B$2:$B$501,MATCH($B34,Jobs!$A$2:$A$501,0)),""))</f>
        <v/>
      </c>
      <c r="D34" s="17"/>
      <c r="E34" s="18"/>
      <c r="F34" s="16"/>
      <c r="G34" s="16"/>
      <c r="H34" s="19" t="str">
        <f>IF($B34="","",IFERROR(INDEX(Jobs!$I$2:$I$501,MATCH($B34,Jobs!$A$2:$A$501,0)),""))</f>
        <v/>
      </c>
      <c r="I34" s="19" t="str">
        <f>IF($B34="","",IFERROR(INDEX(Jobs!$K$2:$K$501,MATCH($B34,Jobs!$A$2:$A$501,0)),""))</f>
        <v/>
      </c>
      <c r="J34" s="16"/>
    </row>
    <row r="35" spans="1:10" x14ac:dyDescent="0.3">
      <c r="A35" s="15" t="str">
        <f t="shared" si="0"/>
        <v/>
      </c>
      <c r="B35" s="16"/>
      <c r="C35" s="15" t="str">
        <f>IF($B35="","",IFERROR(INDEX(Jobs!$B$2:$B$501,MATCH($B35,Jobs!$A$2:$A$501,0)),""))</f>
        <v/>
      </c>
      <c r="D35" s="17"/>
      <c r="E35" s="18"/>
      <c r="F35" s="16"/>
      <c r="G35" s="16"/>
      <c r="H35" s="19" t="str">
        <f>IF($B35="","",IFERROR(INDEX(Jobs!$I$2:$I$501,MATCH($B35,Jobs!$A$2:$A$501,0)),""))</f>
        <v/>
      </c>
      <c r="I35" s="19" t="str">
        <f>IF($B35="","",IFERROR(INDEX(Jobs!$K$2:$K$501,MATCH($B35,Jobs!$A$2:$A$501,0)),""))</f>
        <v/>
      </c>
      <c r="J35" s="16"/>
    </row>
    <row r="36" spans="1:10" x14ac:dyDescent="0.3">
      <c r="A36" s="15" t="str">
        <f t="shared" si="0"/>
        <v/>
      </c>
      <c r="B36" s="16"/>
      <c r="C36" s="15" t="str">
        <f>IF($B36="","",IFERROR(INDEX(Jobs!$B$2:$B$501,MATCH($B36,Jobs!$A$2:$A$501,0)),""))</f>
        <v/>
      </c>
      <c r="D36" s="17"/>
      <c r="E36" s="18"/>
      <c r="F36" s="16"/>
      <c r="G36" s="16"/>
      <c r="H36" s="19" t="str">
        <f>IF($B36="","",IFERROR(INDEX(Jobs!$I$2:$I$501,MATCH($B36,Jobs!$A$2:$A$501,0)),""))</f>
        <v/>
      </c>
      <c r="I36" s="19" t="str">
        <f>IF($B36="","",IFERROR(INDEX(Jobs!$K$2:$K$501,MATCH($B36,Jobs!$A$2:$A$501,0)),""))</f>
        <v/>
      </c>
      <c r="J36" s="16"/>
    </row>
    <row r="37" spans="1:10" x14ac:dyDescent="0.3">
      <c r="A37" s="15" t="str">
        <f t="shared" si="0"/>
        <v/>
      </c>
      <c r="B37" s="16"/>
      <c r="C37" s="15" t="str">
        <f>IF($B37="","",IFERROR(INDEX(Jobs!$B$2:$B$501,MATCH($B37,Jobs!$A$2:$A$501,0)),""))</f>
        <v/>
      </c>
      <c r="D37" s="17"/>
      <c r="E37" s="18"/>
      <c r="F37" s="16"/>
      <c r="G37" s="16"/>
      <c r="H37" s="19" t="str">
        <f>IF($B37="","",IFERROR(INDEX(Jobs!$I$2:$I$501,MATCH($B37,Jobs!$A$2:$A$501,0)),""))</f>
        <v/>
      </c>
      <c r="I37" s="19" t="str">
        <f>IF($B37="","",IFERROR(INDEX(Jobs!$K$2:$K$501,MATCH($B37,Jobs!$A$2:$A$501,0)),""))</f>
        <v/>
      </c>
      <c r="J37" s="16"/>
    </row>
    <row r="38" spans="1:10" x14ac:dyDescent="0.3">
      <c r="A38" s="15" t="str">
        <f t="shared" si="0"/>
        <v/>
      </c>
      <c r="B38" s="16"/>
      <c r="C38" s="15" t="str">
        <f>IF($B38="","",IFERROR(INDEX(Jobs!$B$2:$B$501,MATCH($B38,Jobs!$A$2:$A$501,0)),""))</f>
        <v/>
      </c>
      <c r="D38" s="17"/>
      <c r="E38" s="18"/>
      <c r="F38" s="16"/>
      <c r="G38" s="16"/>
      <c r="H38" s="19" t="str">
        <f>IF($B38="","",IFERROR(INDEX(Jobs!$I$2:$I$501,MATCH($B38,Jobs!$A$2:$A$501,0)),""))</f>
        <v/>
      </c>
      <c r="I38" s="19" t="str">
        <f>IF($B38="","",IFERROR(INDEX(Jobs!$K$2:$K$501,MATCH($B38,Jobs!$A$2:$A$501,0)),""))</f>
        <v/>
      </c>
      <c r="J38" s="16"/>
    </row>
    <row r="39" spans="1:10" x14ac:dyDescent="0.3">
      <c r="A39" s="15" t="str">
        <f t="shared" si="0"/>
        <v/>
      </c>
      <c r="B39" s="16"/>
      <c r="C39" s="15" t="str">
        <f>IF($B39="","",IFERROR(INDEX(Jobs!$B$2:$B$501,MATCH($B39,Jobs!$A$2:$A$501,0)),""))</f>
        <v/>
      </c>
      <c r="D39" s="17"/>
      <c r="E39" s="18"/>
      <c r="F39" s="16"/>
      <c r="G39" s="16"/>
      <c r="H39" s="19" t="str">
        <f>IF($B39="","",IFERROR(INDEX(Jobs!$I$2:$I$501,MATCH($B39,Jobs!$A$2:$A$501,0)),""))</f>
        <v/>
      </c>
      <c r="I39" s="19" t="str">
        <f>IF($B39="","",IFERROR(INDEX(Jobs!$K$2:$K$501,MATCH($B39,Jobs!$A$2:$A$501,0)),""))</f>
        <v/>
      </c>
      <c r="J39" s="16"/>
    </row>
    <row r="40" spans="1:10" x14ac:dyDescent="0.3">
      <c r="A40" s="15" t="str">
        <f t="shared" si="0"/>
        <v/>
      </c>
      <c r="B40" s="16"/>
      <c r="C40" s="15" t="str">
        <f>IF($B40="","",IFERROR(INDEX(Jobs!$B$2:$B$501,MATCH($B40,Jobs!$A$2:$A$501,0)),""))</f>
        <v/>
      </c>
      <c r="D40" s="17"/>
      <c r="E40" s="18"/>
      <c r="F40" s="16"/>
      <c r="G40" s="16"/>
      <c r="H40" s="19" t="str">
        <f>IF($B40="","",IFERROR(INDEX(Jobs!$I$2:$I$501,MATCH($B40,Jobs!$A$2:$A$501,0)),""))</f>
        <v/>
      </c>
      <c r="I40" s="19" t="str">
        <f>IF($B40="","",IFERROR(INDEX(Jobs!$K$2:$K$501,MATCH($B40,Jobs!$A$2:$A$501,0)),""))</f>
        <v/>
      </c>
      <c r="J40" s="16"/>
    </row>
    <row r="41" spans="1:10" x14ac:dyDescent="0.3">
      <c r="A41" s="15" t="str">
        <f t="shared" si="0"/>
        <v/>
      </c>
      <c r="B41" s="16"/>
      <c r="C41" s="15" t="str">
        <f>IF($B41="","",IFERROR(INDEX(Jobs!$B$2:$B$501,MATCH($B41,Jobs!$A$2:$A$501,0)),""))</f>
        <v/>
      </c>
      <c r="D41" s="17"/>
      <c r="E41" s="18"/>
      <c r="F41" s="16"/>
      <c r="G41" s="16"/>
      <c r="H41" s="19" t="str">
        <f>IF($B41="","",IFERROR(INDEX(Jobs!$I$2:$I$501,MATCH($B41,Jobs!$A$2:$A$501,0)),""))</f>
        <v/>
      </c>
      <c r="I41" s="19" t="str">
        <f>IF($B41="","",IFERROR(INDEX(Jobs!$K$2:$K$501,MATCH($B41,Jobs!$A$2:$A$501,0)),""))</f>
        <v/>
      </c>
      <c r="J41" s="16"/>
    </row>
    <row r="42" spans="1:10" x14ac:dyDescent="0.3">
      <c r="A42" s="15" t="str">
        <f t="shared" si="0"/>
        <v/>
      </c>
      <c r="B42" s="16"/>
      <c r="C42" s="15" t="str">
        <f>IF($B42="","",IFERROR(INDEX(Jobs!$B$2:$B$501,MATCH($B42,Jobs!$A$2:$A$501,0)),""))</f>
        <v/>
      </c>
      <c r="D42" s="17"/>
      <c r="E42" s="18"/>
      <c r="F42" s="16"/>
      <c r="G42" s="16"/>
      <c r="H42" s="19" t="str">
        <f>IF($B42="","",IFERROR(INDEX(Jobs!$I$2:$I$501,MATCH($B42,Jobs!$A$2:$A$501,0)),""))</f>
        <v/>
      </c>
      <c r="I42" s="19" t="str">
        <f>IF($B42="","",IFERROR(INDEX(Jobs!$K$2:$K$501,MATCH($B42,Jobs!$A$2:$A$501,0)),""))</f>
        <v/>
      </c>
      <c r="J42" s="16"/>
    </row>
    <row r="43" spans="1:10" x14ac:dyDescent="0.3">
      <c r="A43" s="15" t="str">
        <f t="shared" si="0"/>
        <v/>
      </c>
      <c r="B43" s="16"/>
      <c r="C43" s="15" t="str">
        <f>IF($B43="","",IFERROR(INDEX(Jobs!$B$2:$B$501,MATCH($B43,Jobs!$A$2:$A$501,0)),""))</f>
        <v/>
      </c>
      <c r="D43" s="17"/>
      <c r="E43" s="18"/>
      <c r="F43" s="16"/>
      <c r="G43" s="16"/>
      <c r="H43" s="19" t="str">
        <f>IF($B43="","",IFERROR(INDEX(Jobs!$I$2:$I$501,MATCH($B43,Jobs!$A$2:$A$501,0)),""))</f>
        <v/>
      </c>
      <c r="I43" s="19" t="str">
        <f>IF($B43="","",IFERROR(INDEX(Jobs!$K$2:$K$501,MATCH($B43,Jobs!$A$2:$A$501,0)),""))</f>
        <v/>
      </c>
      <c r="J43" s="16"/>
    </row>
    <row r="44" spans="1:10" x14ac:dyDescent="0.3">
      <c r="A44" s="15" t="str">
        <f t="shared" si="0"/>
        <v/>
      </c>
      <c r="B44" s="16"/>
      <c r="C44" s="15" t="str">
        <f>IF($B44="","",IFERROR(INDEX(Jobs!$B$2:$B$501,MATCH($B44,Jobs!$A$2:$A$501,0)),""))</f>
        <v/>
      </c>
      <c r="D44" s="17"/>
      <c r="E44" s="18"/>
      <c r="F44" s="16"/>
      <c r="G44" s="16"/>
      <c r="H44" s="19" t="str">
        <f>IF($B44="","",IFERROR(INDEX(Jobs!$I$2:$I$501,MATCH($B44,Jobs!$A$2:$A$501,0)),""))</f>
        <v/>
      </c>
      <c r="I44" s="19" t="str">
        <f>IF($B44="","",IFERROR(INDEX(Jobs!$K$2:$K$501,MATCH($B44,Jobs!$A$2:$A$501,0)),""))</f>
        <v/>
      </c>
      <c r="J44" s="16"/>
    </row>
    <row r="45" spans="1:10" x14ac:dyDescent="0.3">
      <c r="A45" s="15" t="str">
        <f t="shared" si="0"/>
        <v/>
      </c>
      <c r="B45" s="16"/>
      <c r="C45" s="15" t="str">
        <f>IF($B45="","",IFERROR(INDEX(Jobs!$B$2:$B$501,MATCH($B45,Jobs!$A$2:$A$501,0)),""))</f>
        <v/>
      </c>
      <c r="D45" s="17"/>
      <c r="E45" s="18"/>
      <c r="F45" s="16"/>
      <c r="G45" s="16"/>
      <c r="H45" s="19" t="str">
        <f>IF($B45="","",IFERROR(INDEX(Jobs!$I$2:$I$501,MATCH($B45,Jobs!$A$2:$A$501,0)),""))</f>
        <v/>
      </c>
      <c r="I45" s="19" t="str">
        <f>IF($B45="","",IFERROR(INDEX(Jobs!$K$2:$K$501,MATCH($B45,Jobs!$A$2:$A$501,0)),""))</f>
        <v/>
      </c>
      <c r="J45" s="16"/>
    </row>
    <row r="46" spans="1:10" x14ac:dyDescent="0.3">
      <c r="A46" s="15" t="str">
        <f t="shared" si="0"/>
        <v/>
      </c>
      <c r="B46" s="16"/>
      <c r="C46" s="15" t="str">
        <f>IF($B46="","",IFERROR(INDEX(Jobs!$B$2:$B$501,MATCH($B46,Jobs!$A$2:$A$501,0)),""))</f>
        <v/>
      </c>
      <c r="D46" s="17"/>
      <c r="E46" s="18"/>
      <c r="F46" s="16"/>
      <c r="G46" s="16"/>
      <c r="H46" s="19" t="str">
        <f>IF($B46="","",IFERROR(INDEX(Jobs!$I$2:$I$501,MATCH($B46,Jobs!$A$2:$A$501,0)),""))</f>
        <v/>
      </c>
      <c r="I46" s="19" t="str">
        <f>IF($B46="","",IFERROR(INDEX(Jobs!$K$2:$K$501,MATCH($B46,Jobs!$A$2:$A$501,0)),""))</f>
        <v/>
      </c>
      <c r="J46" s="16"/>
    </row>
    <row r="47" spans="1:10" x14ac:dyDescent="0.3">
      <c r="A47" s="15" t="str">
        <f t="shared" si="0"/>
        <v/>
      </c>
      <c r="B47" s="16"/>
      <c r="C47" s="15" t="str">
        <f>IF($B47="","",IFERROR(INDEX(Jobs!$B$2:$B$501,MATCH($B47,Jobs!$A$2:$A$501,0)),""))</f>
        <v/>
      </c>
      <c r="D47" s="17"/>
      <c r="E47" s="18"/>
      <c r="F47" s="16"/>
      <c r="G47" s="16"/>
      <c r="H47" s="19" t="str">
        <f>IF($B47="","",IFERROR(INDEX(Jobs!$I$2:$I$501,MATCH($B47,Jobs!$A$2:$A$501,0)),""))</f>
        <v/>
      </c>
      <c r="I47" s="19" t="str">
        <f>IF($B47="","",IFERROR(INDEX(Jobs!$K$2:$K$501,MATCH($B47,Jobs!$A$2:$A$501,0)),""))</f>
        <v/>
      </c>
      <c r="J47" s="16"/>
    </row>
    <row r="48" spans="1:10" x14ac:dyDescent="0.3">
      <c r="A48" s="15" t="str">
        <f t="shared" si="0"/>
        <v/>
      </c>
      <c r="B48" s="16"/>
      <c r="C48" s="15" t="str">
        <f>IF($B48="","",IFERROR(INDEX(Jobs!$B$2:$B$501,MATCH($B48,Jobs!$A$2:$A$501,0)),""))</f>
        <v/>
      </c>
      <c r="D48" s="17"/>
      <c r="E48" s="18"/>
      <c r="F48" s="16"/>
      <c r="G48" s="16"/>
      <c r="H48" s="19" t="str">
        <f>IF($B48="","",IFERROR(INDEX(Jobs!$I$2:$I$501,MATCH($B48,Jobs!$A$2:$A$501,0)),""))</f>
        <v/>
      </c>
      <c r="I48" s="19" t="str">
        <f>IF($B48="","",IFERROR(INDEX(Jobs!$K$2:$K$501,MATCH($B48,Jobs!$A$2:$A$501,0)),""))</f>
        <v/>
      </c>
      <c r="J48" s="16"/>
    </row>
    <row r="49" spans="1:10" x14ac:dyDescent="0.3">
      <c r="A49" s="15" t="str">
        <f t="shared" si="0"/>
        <v/>
      </c>
      <c r="B49" s="16"/>
      <c r="C49" s="15" t="str">
        <f>IF($B49="","",IFERROR(INDEX(Jobs!$B$2:$B$501,MATCH($B49,Jobs!$A$2:$A$501,0)),""))</f>
        <v/>
      </c>
      <c r="D49" s="17"/>
      <c r="E49" s="18"/>
      <c r="F49" s="16"/>
      <c r="G49" s="16"/>
      <c r="H49" s="19" t="str">
        <f>IF($B49="","",IFERROR(INDEX(Jobs!$I$2:$I$501,MATCH($B49,Jobs!$A$2:$A$501,0)),""))</f>
        <v/>
      </c>
      <c r="I49" s="19" t="str">
        <f>IF($B49="","",IFERROR(INDEX(Jobs!$K$2:$K$501,MATCH($B49,Jobs!$A$2:$A$501,0)),""))</f>
        <v/>
      </c>
      <c r="J49" s="16"/>
    </row>
    <row r="50" spans="1:10" x14ac:dyDescent="0.3">
      <c r="A50" s="15" t="str">
        <f t="shared" si="0"/>
        <v/>
      </c>
      <c r="B50" s="16"/>
      <c r="C50" s="15" t="str">
        <f>IF($B50="","",IFERROR(INDEX(Jobs!$B$2:$B$501,MATCH($B50,Jobs!$A$2:$A$501,0)),""))</f>
        <v/>
      </c>
      <c r="D50" s="17"/>
      <c r="E50" s="18"/>
      <c r="F50" s="16"/>
      <c r="G50" s="16"/>
      <c r="H50" s="19" t="str">
        <f>IF($B50="","",IFERROR(INDEX(Jobs!$I$2:$I$501,MATCH($B50,Jobs!$A$2:$A$501,0)),""))</f>
        <v/>
      </c>
      <c r="I50" s="19" t="str">
        <f>IF($B50="","",IFERROR(INDEX(Jobs!$K$2:$K$501,MATCH($B50,Jobs!$A$2:$A$501,0)),""))</f>
        <v/>
      </c>
      <c r="J50" s="16"/>
    </row>
    <row r="51" spans="1:10" x14ac:dyDescent="0.3">
      <c r="A51" s="15" t="str">
        <f t="shared" si="0"/>
        <v/>
      </c>
      <c r="B51" s="16"/>
      <c r="C51" s="15" t="str">
        <f>IF($B51="","",IFERROR(INDEX(Jobs!$B$2:$B$501,MATCH($B51,Jobs!$A$2:$A$501,0)),""))</f>
        <v/>
      </c>
      <c r="D51" s="17"/>
      <c r="E51" s="18"/>
      <c r="F51" s="16"/>
      <c r="G51" s="16"/>
      <c r="H51" s="19" t="str">
        <f>IF($B51="","",IFERROR(INDEX(Jobs!$I$2:$I$501,MATCH($B51,Jobs!$A$2:$A$501,0)),""))</f>
        <v/>
      </c>
      <c r="I51" s="19" t="str">
        <f>IF($B51="","",IFERROR(INDEX(Jobs!$K$2:$K$501,MATCH($B51,Jobs!$A$2:$A$501,0)),""))</f>
        <v/>
      </c>
      <c r="J51" s="16"/>
    </row>
    <row r="52" spans="1:10" x14ac:dyDescent="0.3">
      <c r="A52" s="15" t="str">
        <f t="shared" si="0"/>
        <v/>
      </c>
      <c r="B52" s="16"/>
      <c r="C52" s="15" t="str">
        <f>IF($B52="","",IFERROR(INDEX(Jobs!$B$2:$B$501,MATCH($B52,Jobs!$A$2:$A$501,0)),""))</f>
        <v/>
      </c>
      <c r="D52" s="17"/>
      <c r="E52" s="18"/>
      <c r="F52" s="16"/>
      <c r="G52" s="16"/>
      <c r="H52" s="19" t="str">
        <f>IF($B52="","",IFERROR(INDEX(Jobs!$I$2:$I$501,MATCH($B52,Jobs!$A$2:$A$501,0)),""))</f>
        <v/>
      </c>
      <c r="I52" s="19" t="str">
        <f>IF($B52="","",IFERROR(INDEX(Jobs!$K$2:$K$501,MATCH($B52,Jobs!$A$2:$A$501,0)),""))</f>
        <v/>
      </c>
      <c r="J52" s="16"/>
    </row>
    <row r="53" spans="1:10" x14ac:dyDescent="0.3">
      <c r="A53" s="15" t="str">
        <f t="shared" si="0"/>
        <v/>
      </c>
      <c r="B53" s="16"/>
      <c r="C53" s="15" t="str">
        <f>IF($B53="","",IFERROR(INDEX(Jobs!$B$2:$B$501,MATCH($B53,Jobs!$A$2:$A$501,0)),""))</f>
        <v/>
      </c>
      <c r="D53" s="17"/>
      <c r="E53" s="18"/>
      <c r="F53" s="16"/>
      <c r="G53" s="16"/>
      <c r="H53" s="19" t="str">
        <f>IF($B53="","",IFERROR(INDEX(Jobs!$I$2:$I$501,MATCH($B53,Jobs!$A$2:$A$501,0)),""))</f>
        <v/>
      </c>
      <c r="I53" s="19" t="str">
        <f>IF($B53="","",IFERROR(INDEX(Jobs!$K$2:$K$501,MATCH($B53,Jobs!$A$2:$A$501,0)),""))</f>
        <v/>
      </c>
      <c r="J53" s="16"/>
    </row>
    <row r="54" spans="1:10" x14ac:dyDescent="0.3">
      <c r="A54" s="15" t="str">
        <f t="shared" si="0"/>
        <v/>
      </c>
      <c r="B54" s="16"/>
      <c r="C54" s="15" t="str">
        <f>IF($B54="","",IFERROR(INDEX(Jobs!$B$2:$B$501,MATCH($B54,Jobs!$A$2:$A$501,0)),""))</f>
        <v/>
      </c>
      <c r="D54" s="17"/>
      <c r="E54" s="18"/>
      <c r="F54" s="16"/>
      <c r="G54" s="16"/>
      <c r="H54" s="19" t="str">
        <f>IF($B54="","",IFERROR(INDEX(Jobs!$I$2:$I$501,MATCH($B54,Jobs!$A$2:$A$501,0)),""))</f>
        <v/>
      </c>
      <c r="I54" s="19" t="str">
        <f>IF($B54="","",IFERROR(INDEX(Jobs!$K$2:$K$501,MATCH($B54,Jobs!$A$2:$A$501,0)),""))</f>
        <v/>
      </c>
      <c r="J54" s="16"/>
    </row>
    <row r="55" spans="1:10" x14ac:dyDescent="0.3">
      <c r="A55" s="15" t="str">
        <f t="shared" si="0"/>
        <v/>
      </c>
      <c r="B55" s="16"/>
      <c r="C55" s="15" t="str">
        <f>IF($B55="","",IFERROR(INDEX(Jobs!$B$2:$B$501,MATCH($B55,Jobs!$A$2:$A$501,0)),""))</f>
        <v/>
      </c>
      <c r="D55" s="17"/>
      <c r="E55" s="18"/>
      <c r="F55" s="16"/>
      <c r="G55" s="16"/>
      <c r="H55" s="19" t="str">
        <f>IF($B55="","",IFERROR(INDEX(Jobs!$I$2:$I$501,MATCH($B55,Jobs!$A$2:$A$501,0)),""))</f>
        <v/>
      </c>
      <c r="I55" s="19" t="str">
        <f>IF($B55="","",IFERROR(INDEX(Jobs!$K$2:$K$501,MATCH($B55,Jobs!$A$2:$A$501,0)),""))</f>
        <v/>
      </c>
      <c r="J55" s="16"/>
    </row>
    <row r="56" spans="1:10" x14ac:dyDescent="0.3">
      <c r="A56" s="15" t="str">
        <f t="shared" si="0"/>
        <v/>
      </c>
      <c r="B56" s="16"/>
      <c r="C56" s="15" t="str">
        <f>IF($B56="","",IFERROR(INDEX(Jobs!$B$2:$B$501,MATCH($B56,Jobs!$A$2:$A$501,0)),""))</f>
        <v/>
      </c>
      <c r="D56" s="17"/>
      <c r="E56" s="18"/>
      <c r="F56" s="16"/>
      <c r="G56" s="16"/>
      <c r="H56" s="19" t="str">
        <f>IF($B56="","",IFERROR(INDEX(Jobs!$I$2:$I$501,MATCH($B56,Jobs!$A$2:$A$501,0)),""))</f>
        <v/>
      </c>
      <c r="I56" s="19" t="str">
        <f>IF($B56="","",IFERROR(INDEX(Jobs!$K$2:$K$501,MATCH($B56,Jobs!$A$2:$A$501,0)),""))</f>
        <v/>
      </c>
      <c r="J56" s="16"/>
    </row>
    <row r="57" spans="1:10" x14ac:dyDescent="0.3">
      <c r="A57" s="15" t="str">
        <f t="shared" si="0"/>
        <v/>
      </c>
      <c r="B57" s="16"/>
      <c r="C57" s="15" t="str">
        <f>IF($B57="","",IFERROR(INDEX(Jobs!$B$2:$B$501,MATCH($B57,Jobs!$A$2:$A$501,0)),""))</f>
        <v/>
      </c>
      <c r="D57" s="17"/>
      <c r="E57" s="18"/>
      <c r="F57" s="16"/>
      <c r="G57" s="16"/>
      <c r="H57" s="19" t="str">
        <f>IF($B57="","",IFERROR(INDEX(Jobs!$I$2:$I$501,MATCH($B57,Jobs!$A$2:$A$501,0)),""))</f>
        <v/>
      </c>
      <c r="I57" s="19" t="str">
        <f>IF($B57="","",IFERROR(INDEX(Jobs!$K$2:$K$501,MATCH($B57,Jobs!$A$2:$A$501,0)),""))</f>
        <v/>
      </c>
      <c r="J57" s="16"/>
    </row>
    <row r="58" spans="1:10" x14ac:dyDescent="0.3">
      <c r="A58" s="15" t="str">
        <f t="shared" si="0"/>
        <v/>
      </c>
      <c r="B58" s="16"/>
      <c r="C58" s="15" t="str">
        <f>IF($B58="","",IFERROR(INDEX(Jobs!$B$2:$B$501,MATCH($B58,Jobs!$A$2:$A$501,0)),""))</f>
        <v/>
      </c>
      <c r="D58" s="17"/>
      <c r="E58" s="18"/>
      <c r="F58" s="16"/>
      <c r="G58" s="16"/>
      <c r="H58" s="19" t="str">
        <f>IF($B58="","",IFERROR(INDEX(Jobs!$I$2:$I$501,MATCH($B58,Jobs!$A$2:$A$501,0)),""))</f>
        <v/>
      </c>
      <c r="I58" s="19" t="str">
        <f>IF($B58="","",IFERROR(INDEX(Jobs!$K$2:$K$501,MATCH($B58,Jobs!$A$2:$A$501,0)),""))</f>
        <v/>
      </c>
      <c r="J58" s="16"/>
    </row>
    <row r="59" spans="1:10" x14ac:dyDescent="0.3">
      <c r="A59" s="15" t="str">
        <f t="shared" si="0"/>
        <v/>
      </c>
      <c r="B59" s="16"/>
      <c r="C59" s="15" t="str">
        <f>IF($B59="","",IFERROR(INDEX(Jobs!$B$2:$B$501,MATCH($B59,Jobs!$A$2:$A$501,0)),""))</f>
        <v/>
      </c>
      <c r="D59" s="17"/>
      <c r="E59" s="18"/>
      <c r="F59" s="16"/>
      <c r="G59" s="16"/>
      <c r="H59" s="19" t="str">
        <f>IF($B59="","",IFERROR(INDEX(Jobs!$I$2:$I$501,MATCH($B59,Jobs!$A$2:$A$501,0)),""))</f>
        <v/>
      </c>
      <c r="I59" s="19" t="str">
        <f>IF($B59="","",IFERROR(INDEX(Jobs!$K$2:$K$501,MATCH($B59,Jobs!$A$2:$A$501,0)),""))</f>
        <v/>
      </c>
      <c r="J59" s="16"/>
    </row>
    <row r="60" spans="1:10" x14ac:dyDescent="0.3">
      <c r="A60" s="15" t="str">
        <f t="shared" si="0"/>
        <v/>
      </c>
      <c r="B60" s="16"/>
      <c r="C60" s="15" t="str">
        <f>IF($B60="","",IFERROR(INDEX(Jobs!$B$2:$B$501,MATCH($B60,Jobs!$A$2:$A$501,0)),""))</f>
        <v/>
      </c>
      <c r="D60" s="17"/>
      <c r="E60" s="18"/>
      <c r="F60" s="16"/>
      <c r="G60" s="16"/>
      <c r="H60" s="19" t="str">
        <f>IF($B60="","",IFERROR(INDEX(Jobs!$I$2:$I$501,MATCH($B60,Jobs!$A$2:$A$501,0)),""))</f>
        <v/>
      </c>
      <c r="I60" s="19" t="str">
        <f>IF($B60="","",IFERROR(INDEX(Jobs!$K$2:$K$501,MATCH($B60,Jobs!$A$2:$A$501,0)),""))</f>
        <v/>
      </c>
      <c r="J60" s="16"/>
    </row>
    <row r="61" spans="1:10" x14ac:dyDescent="0.3">
      <c r="A61" s="15" t="str">
        <f t="shared" si="0"/>
        <v/>
      </c>
      <c r="B61" s="16"/>
      <c r="C61" s="15" t="str">
        <f>IF($B61="","",IFERROR(INDEX(Jobs!$B$2:$B$501,MATCH($B61,Jobs!$A$2:$A$501,0)),""))</f>
        <v/>
      </c>
      <c r="D61" s="17"/>
      <c r="E61" s="18"/>
      <c r="F61" s="16"/>
      <c r="G61" s="16"/>
      <c r="H61" s="19" t="str">
        <f>IF($B61="","",IFERROR(INDEX(Jobs!$I$2:$I$501,MATCH($B61,Jobs!$A$2:$A$501,0)),""))</f>
        <v/>
      </c>
      <c r="I61" s="19" t="str">
        <f>IF($B61="","",IFERROR(INDEX(Jobs!$K$2:$K$501,MATCH($B61,Jobs!$A$2:$A$501,0)),""))</f>
        <v/>
      </c>
      <c r="J61" s="16"/>
    </row>
    <row r="62" spans="1:10" x14ac:dyDescent="0.3">
      <c r="A62" s="15" t="str">
        <f t="shared" si="0"/>
        <v/>
      </c>
      <c r="B62" s="16"/>
      <c r="C62" s="15" t="str">
        <f>IF($B62="","",IFERROR(INDEX(Jobs!$B$2:$B$501,MATCH($B62,Jobs!$A$2:$A$501,0)),""))</f>
        <v/>
      </c>
      <c r="D62" s="17"/>
      <c r="E62" s="18"/>
      <c r="F62" s="16"/>
      <c r="G62" s="16"/>
      <c r="H62" s="19" t="str">
        <f>IF($B62="","",IFERROR(INDEX(Jobs!$I$2:$I$501,MATCH($B62,Jobs!$A$2:$A$501,0)),""))</f>
        <v/>
      </c>
      <c r="I62" s="19" t="str">
        <f>IF($B62="","",IFERROR(INDEX(Jobs!$K$2:$K$501,MATCH($B62,Jobs!$A$2:$A$501,0)),""))</f>
        <v/>
      </c>
      <c r="J62" s="16"/>
    </row>
    <row r="63" spans="1:10" x14ac:dyDescent="0.3">
      <c r="A63" s="15" t="str">
        <f t="shared" si="0"/>
        <v/>
      </c>
      <c r="B63" s="16"/>
      <c r="C63" s="15" t="str">
        <f>IF($B63="","",IFERROR(INDEX(Jobs!$B$2:$B$501,MATCH($B63,Jobs!$A$2:$A$501,0)),""))</f>
        <v/>
      </c>
      <c r="D63" s="17"/>
      <c r="E63" s="18"/>
      <c r="F63" s="16"/>
      <c r="G63" s="16"/>
      <c r="H63" s="19" t="str">
        <f>IF($B63="","",IFERROR(INDEX(Jobs!$I$2:$I$501,MATCH($B63,Jobs!$A$2:$A$501,0)),""))</f>
        <v/>
      </c>
      <c r="I63" s="19" t="str">
        <f>IF($B63="","",IFERROR(INDEX(Jobs!$K$2:$K$501,MATCH($B63,Jobs!$A$2:$A$501,0)),""))</f>
        <v/>
      </c>
      <c r="J63" s="16"/>
    </row>
    <row r="64" spans="1:10" x14ac:dyDescent="0.3">
      <c r="A64" s="15" t="str">
        <f t="shared" si="0"/>
        <v/>
      </c>
      <c r="B64" s="16"/>
      <c r="C64" s="15" t="str">
        <f>IF($B64="","",IFERROR(INDEX(Jobs!$B$2:$B$501,MATCH($B64,Jobs!$A$2:$A$501,0)),""))</f>
        <v/>
      </c>
      <c r="D64" s="17"/>
      <c r="E64" s="18"/>
      <c r="F64" s="16"/>
      <c r="G64" s="16"/>
      <c r="H64" s="19" t="str">
        <f>IF($B64="","",IFERROR(INDEX(Jobs!$I$2:$I$501,MATCH($B64,Jobs!$A$2:$A$501,0)),""))</f>
        <v/>
      </c>
      <c r="I64" s="19" t="str">
        <f>IF($B64="","",IFERROR(INDEX(Jobs!$K$2:$K$501,MATCH($B64,Jobs!$A$2:$A$501,0)),""))</f>
        <v/>
      </c>
      <c r="J64" s="16"/>
    </row>
    <row r="65" spans="1:10" x14ac:dyDescent="0.3">
      <c r="A65" s="15" t="str">
        <f t="shared" si="0"/>
        <v/>
      </c>
      <c r="B65" s="16"/>
      <c r="C65" s="15" t="str">
        <f>IF($B65="","",IFERROR(INDEX(Jobs!$B$2:$B$501,MATCH($B65,Jobs!$A$2:$A$501,0)),""))</f>
        <v/>
      </c>
      <c r="D65" s="17"/>
      <c r="E65" s="18"/>
      <c r="F65" s="16"/>
      <c r="G65" s="16"/>
      <c r="H65" s="19" t="str">
        <f>IF($B65="","",IFERROR(INDEX(Jobs!$I$2:$I$501,MATCH($B65,Jobs!$A$2:$A$501,0)),""))</f>
        <v/>
      </c>
      <c r="I65" s="19" t="str">
        <f>IF($B65="","",IFERROR(INDEX(Jobs!$K$2:$K$501,MATCH($B65,Jobs!$A$2:$A$501,0)),""))</f>
        <v/>
      </c>
      <c r="J65" s="16"/>
    </row>
    <row r="66" spans="1:10" x14ac:dyDescent="0.3">
      <c r="A66" s="15" t="str">
        <f t="shared" ref="A66:A129" si="1">IF(B66="","","PAY-"&amp;TEXT(ROW()-1,"0000"))</f>
        <v/>
      </c>
      <c r="B66" s="16"/>
      <c r="C66" s="15" t="str">
        <f>IF($B66="","",IFERROR(INDEX(Jobs!$B$2:$B$501,MATCH($B66,Jobs!$A$2:$A$501,0)),""))</f>
        <v/>
      </c>
      <c r="D66" s="17"/>
      <c r="E66" s="18"/>
      <c r="F66" s="16"/>
      <c r="G66" s="16"/>
      <c r="H66" s="19" t="str">
        <f>IF($B66="","",IFERROR(INDEX(Jobs!$I$2:$I$501,MATCH($B66,Jobs!$A$2:$A$501,0)),""))</f>
        <v/>
      </c>
      <c r="I66" s="19" t="str">
        <f>IF($B66="","",IFERROR(INDEX(Jobs!$K$2:$K$501,MATCH($B66,Jobs!$A$2:$A$501,0)),""))</f>
        <v/>
      </c>
      <c r="J66" s="16"/>
    </row>
    <row r="67" spans="1:10" x14ac:dyDescent="0.3">
      <c r="A67" s="15" t="str">
        <f t="shared" si="1"/>
        <v/>
      </c>
      <c r="B67" s="16"/>
      <c r="C67" s="15" t="str">
        <f>IF($B67="","",IFERROR(INDEX(Jobs!$B$2:$B$501,MATCH($B67,Jobs!$A$2:$A$501,0)),""))</f>
        <v/>
      </c>
      <c r="D67" s="17"/>
      <c r="E67" s="18"/>
      <c r="F67" s="16"/>
      <c r="G67" s="16"/>
      <c r="H67" s="19" t="str">
        <f>IF($B67="","",IFERROR(INDEX(Jobs!$I$2:$I$501,MATCH($B67,Jobs!$A$2:$A$501,0)),""))</f>
        <v/>
      </c>
      <c r="I67" s="19" t="str">
        <f>IF($B67="","",IFERROR(INDEX(Jobs!$K$2:$K$501,MATCH($B67,Jobs!$A$2:$A$501,0)),""))</f>
        <v/>
      </c>
      <c r="J67" s="16"/>
    </row>
    <row r="68" spans="1:10" x14ac:dyDescent="0.3">
      <c r="A68" s="15" t="str">
        <f t="shared" si="1"/>
        <v/>
      </c>
      <c r="B68" s="16"/>
      <c r="C68" s="15" t="str">
        <f>IF($B68="","",IFERROR(INDEX(Jobs!$B$2:$B$501,MATCH($B68,Jobs!$A$2:$A$501,0)),""))</f>
        <v/>
      </c>
      <c r="D68" s="17"/>
      <c r="E68" s="18"/>
      <c r="F68" s="16"/>
      <c r="G68" s="16"/>
      <c r="H68" s="19" t="str">
        <f>IF($B68="","",IFERROR(INDEX(Jobs!$I$2:$I$501,MATCH($B68,Jobs!$A$2:$A$501,0)),""))</f>
        <v/>
      </c>
      <c r="I68" s="19" t="str">
        <f>IF($B68="","",IFERROR(INDEX(Jobs!$K$2:$K$501,MATCH($B68,Jobs!$A$2:$A$501,0)),""))</f>
        <v/>
      </c>
      <c r="J68" s="16"/>
    </row>
    <row r="69" spans="1:10" x14ac:dyDescent="0.3">
      <c r="A69" s="15" t="str">
        <f t="shared" si="1"/>
        <v/>
      </c>
      <c r="B69" s="16"/>
      <c r="C69" s="15" t="str">
        <f>IF($B69="","",IFERROR(INDEX(Jobs!$B$2:$B$501,MATCH($B69,Jobs!$A$2:$A$501,0)),""))</f>
        <v/>
      </c>
      <c r="D69" s="17"/>
      <c r="E69" s="18"/>
      <c r="F69" s="16"/>
      <c r="G69" s="16"/>
      <c r="H69" s="19" t="str">
        <f>IF($B69="","",IFERROR(INDEX(Jobs!$I$2:$I$501,MATCH($B69,Jobs!$A$2:$A$501,0)),""))</f>
        <v/>
      </c>
      <c r="I69" s="19" t="str">
        <f>IF($B69="","",IFERROR(INDEX(Jobs!$K$2:$K$501,MATCH($B69,Jobs!$A$2:$A$501,0)),""))</f>
        <v/>
      </c>
      <c r="J69" s="16"/>
    </row>
    <row r="70" spans="1:10" x14ac:dyDescent="0.3">
      <c r="A70" s="15" t="str">
        <f t="shared" si="1"/>
        <v/>
      </c>
      <c r="B70" s="16"/>
      <c r="C70" s="15" t="str">
        <f>IF($B70="","",IFERROR(INDEX(Jobs!$B$2:$B$501,MATCH($B70,Jobs!$A$2:$A$501,0)),""))</f>
        <v/>
      </c>
      <c r="D70" s="17"/>
      <c r="E70" s="18"/>
      <c r="F70" s="16"/>
      <c r="G70" s="16"/>
      <c r="H70" s="19" t="str">
        <f>IF($B70="","",IFERROR(INDEX(Jobs!$I$2:$I$501,MATCH($B70,Jobs!$A$2:$A$501,0)),""))</f>
        <v/>
      </c>
      <c r="I70" s="19" t="str">
        <f>IF($B70="","",IFERROR(INDEX(Jobs!$K$2:$K$501,MATCH($B70,Jobs!$A$2:$A$501,0)),""))</f>
        <v/>
      </c>
      <c r="J70" s="16"/>
    </row>
    <row r="71" spans="1:10" x14ac:dyDescent="0.3">
      <c r="A71" s="15" t="str">
        <f t="shared" si="1"/>
        <v/>
      </c>
      <c r="B71" s="16"/>
      <c r="C71" s="15" t="str">
        <f>IF($B71="","",IFERROR(INDEX(Jobs!$B$2:$B$501,MATCH($B71,Jobs!$A$2:$A$501,0)),""))</f>
        <v/>
      </c>
      <c r="D71" s="17"/>
      <c r="E71" s="18"/>
      <c r="F71" s="16"/>
      <c r="G71" s="16"/>
      <c r="H71" s="19" t="str">
        <f>IF($B71="","",IFERROR(INDEX(Jobs!$I$2:$I$501,MATCH($B71,Jobs!$A$2:$A$501,0)),""))</f>
        <v/>
      </c>
      <c r="I71" s="19" t="str">
        <f>IF($B71="","",IFERROR(INDEX(Jobs!$K$2:$K$501,MATCH($B71,Jobs!$A$2:$A$501,0)),""))</f>
        <v/>
      </c>
      <c r="J71" s="16"/>
    </row>
    <row r="72" spans="1:10" x14ac:dyDescent="0.3">
      <c r="A72" s="15" t="str">
        <f t="shared" si="1"/>
        <v/>
      </c>
      <c r="B72" s="16"/>
      <c r="C72" s="15" t="str">
        <f>IF($B72="","",IFERROR(INDEX(Jobs!$B$2:$B$501,MATCH($B72,Jobs!$A$2:$A$501,0)),""))</f>
        <v/>
      </c>
      <c r="D72" s="17"/>
      <c r="E72" s="18"/>
      <c r="F72" s="16"/>
      <c r="G72" s="16"/>
      <c r="H72" s="19" t="str">
        <f>IF($B72="","",IFERROR(INDEX(Jobs!$I$2:$I$501,MATCH($B72,Jobs!$A$2:$A$501,0)),""))</f>
        <v/>
      </c>
      <c r="I72" s="19" t="str">
        <f>IF($B72="","",IFERROR(INDEX(Jobs!$K$2:$K$501,MATCH($B72,Jobs!$A$2:$A$501,0)),""))</f>
        <v/>
      </c>
      <c r="J72" s="16"/>
    </row>
    <row r="73" spans="1:10" x14ac:dyDescent="0.3">
      <c r="A73" s="15" t="str">
        <f t="shared" si="1"/>
        <v/>
      </c>
      <c r="B73" s="16"/>
      <c r="C73" s="15" t="str">
        <f>IF($B73="","",IFERROR(INDEX(Jobs!$B$2:$B$501,MATCH($B73,Jobs!$A$2:$A$501,0)),""))</f>
        <v/>
      </c>
      <c r="D73" s="17"/>
      <c r="E73" s="18"/>
      <c r="F73" s="16"/>
      <c r="G73" s="16"/>
      <c r="H73" s="19" t="str">
        <f>IF($B73="","",IFERROR(INDEX(Jobs!$I$2:$I$501,MATCH($B73,Jobs!$A$2:$A$501,0)),""))</f>
        <v/>
      </c>
      <c r="I73" s="19" t="str">
        <f>IF($B73="","",IFERROR(INDEX(Jobs!$K$2:$K$501,MATCH($B73,Jobs!$A$2:$A$501,0)),""))</f>
        <v/>
      </c>
      <c r="J73" s="16"/>
    </row>
    <row r="74" spans="1:10" x14ac:dyDescent="0.3">
      <c r="A74" s="15" t="str">
        <f t="shared" si="1"/>
        <v/>
      </c>
      <c r="B74" s="16"/>
      <c r="C74" s="15" t="str">
        <f>IF($B74="","",IFERROR(INDEX(Jobs!$B$2:$B$501,MATCH($B74,Jobs!$A$2:$A$501,0)),""))</f>
        <v/>
      </c>
      <c r="D74" s="17"/>
      <c r="E74" s="18"/>
      <c r="F74" s="16"/>
      <c r="G74" s="16"/>
      <c r="H74" s="19" t="str">
        <f>IF($B74="","",IFERROR(INDEX(Jobs!$I$2:$I$501,MATCH($B74,Jobs!$A$2:$A$501,0)),""))</f>
        <v/>
      </c>
      <c r="I74" s="19" t="str">
        <f>IF($B74="","",IFERROR(INDEX(Jobs!$K$2:$K$501,MATCH($B74,Jobs!$A$2:$A$501,0)),""))</f>
        <v/>
      </c>
      <c r="J74" s="16"/>
    </row>
    <row r="75" spans="1:10" x14ac:dyDescent="0.3">
      <c r="A75" s="15" t="str">
        <f t="shared" si="1"/>
        <v/>
      </c>
      <c r="B75" s="16"/>
      <c r="C75" s="15" t="str">
        <f>IF($B75="","",IFERROR(INDEX(Jobs!$B$2:$B$501,MATCH($B75,Jobs!$A$2:$A$501,0)),""))</f>
        <v/>
      </c>
      <c r="D75" s="17"/>
      <c r="E75" s="18"/>
      <c r="F75" s="16"/>
      <c r="G75" s="16"/>
      <c r="H75" s="19" t="str">
        <f>IF($B75="","",IFERROR(INDEX(Jobs!$I$2:$I$501,MATCH($B75,Jobs!$A$2:$A$501,0)),""))</f>
        <v/>
      </c>
      <c r="I75" s="19" t="str">
        <f>IF($B75="","",IFERROR(INDEX(Jobs!$K$2:$K$501,MATCH($B75,Jobs!$A$2:$A$501,0)),""))</f>
        <v/>
      </c>
      <c r="J75" s="16"/>
    </row>
    <row r="76" spans="1:10" x14ac:dyDescent="0.3">
      <c r="A76" s="15" t="str">
        <f t="shared" si="1"/>
        <v/>
      </c>
      <c r="B76" s="16"/>
      <c r="C76" s="15" t="str">
        <f>IF($B76="","",IFERROR(INDEX(Jobs!$B$2:$B$501,MATCH($B76,Jobs!$A$2:$A$501,0)),""))</f>
        <v/>
      </c>
      <c r="D76" s="17"/>
      <c r="E76" s="18"/>
      <c r="F76" s="16"/>
      <c r="G76" s="16"/>
      <c r="H76" s="19" t="str">
        <f>IF($B76="","",IFERROR(INDEX(Jobs!$I$2:$I$501,MATCH($B76,Jobs!$A$2:$A$501,0)),""))</f>
        <v/>
      </c>
      <c r="I76" s="19" t="str">
        <f>IF($B76="","",IFERROR(INDEX(Jobs!$K$2:$K$501,MATCH($B76,Jobs!$A$2:$A$501,0)),""))</f>
        <v/>
      </c>
      <c r="J76" s="16"/>
    </row>
    <row r="77" spans="1:10" x14ac:dyDescent="0.3">
      <c r="A77" s="15" t="str">
        <f t="shared" si="1"/>
        <v/>
      </c>
      <c r="B77" s="16"/>
      <c r="C77" s="15" t="str">
        <f>IF($B77="","",IFERROR(INDEX(Jobs!$B$2:$B$501,MATCH($B77,Jobs!$A$2:$A$501,0)),""))</f>
        <v/>
      </c>
      <c r="D77" s="17"/>
      <c r="E77" s="18"/>
      <c r="F77" s="16"/>
      <c r="G77" s="16"/>
      <c r="H77" s="19" t="str">
        <f>IF($B77="","",IFERROR(INDEX(Jobs!$I$2:$I$501,MATCH($B77,Jobs!$A$2:$A$501,0)),""))</f>
        <v/>
      </c>
      <c r="I77" s="19" t="str">
        <f>IF($B77="","",IFERROR(INDEX(Jobs!$K$2:$K$501,MATCH($B77,Jobs!$A$2:$A$501,0)),""))</f>
        <v/>
      </c>
      <c r="J77" s="16"/>
    </row>
    <row r="78" spans="1:10" x14ac:dyDescent="0.3">
      <c r="A78" s="15" t="str">
        <f t="shared" si="1"/>
        <v/>
      </c>
      <c r="B78" s="16"/>
      <c r="C78" s="15" t="str">
        <f>IF($B78="","",IFERROR(INDEX(Jobs!$B$2:$B$501,MATCH($B78,Jobs!$A$2:$A$501,0)),""))</f>
        <v/>
      </c>
      <c r="D78" s="17"/>
      <c r="E78" s="18"/>
      <c r="F78" s="16"/>
      <c r="G78" s="16"/>
      <c r="H78" s="19" t="str">
        <f>IF($B78="","",IFERROR(INDEX(Jobs!$I$2:$I$501,MATCH($B78,Jobs!$A$2:$A$501,0)),""))</f>
        <v/>
      </c>
      <c r="I78" s="19" t="str">
        <f>IF($B78="","",IFERROR(INDEX(Jobs!$K$2:$K$501,MATCH($B78,Jobs!$A$2:$A$501,0)),""))</f>
        <v/>
      </c>
      <c r="J78" s="16"/>
    </row>
    <row r="79" spans="1:10" x14ac:dyDescent="0.3">
      <c r="A79" s="15" t="str">
        <f t="shared" si="1"/>
        <v/>
      </c>
      <c r="B79" s="16"/>
      <c r="C79" s="15" t="str">
        <f>IF($B79="","",IFERROR(INDEX(Jobs!$B$2:$B$501,MATCH($B79,Jobs!$A$2:$A$501,0)),""))</f>
        <v/>
      </c>
      <c r="D79" s="17"/>
      <c r="E79" s="18"/>
      <c r="F79" s="16"/>
      <c r="G79" s="16"/>
      <c r="H79" s="19" t="str">
        <f>IF($B79="","",IFERROR(INDEX(Jobs!$I$2:$I$501,MATCH($B79,Jobs!$A$2:$A$501,0)),""))</f>
        <v/>
      </c>
      <c r="I79" s="19" t="str">
        <f>IF($B79="","",IFERROR(INDEX(Jobs!$K$2:$K$501,MATCH($B79,Jobs!$A$2:$A$501,0)),""))</f>
        <v/>
      </c>
      <c r="J79" s="16"/>
    </row>
    <row r="80" spans="1:10" x14ac:dyDescent="0.3">
      <c r="A80" s="15" t="str">
        <f t="shared" si="1"/>
        <v/>
      </c>
      <c r="B80" s="16"/>
      <c r="C80" s="15" t="str">
        <f>IF($B80="","",IFERROR(INDEX(Jobs!$B$2:$B$501,MATCH($B80,Jobs!$A$2:$A$501,0)),""))</f>
        <v/>
      </c>
      <c r="D80" s="17"/>
      <c r="E80" s="18"/>
      <c r="F80" s="16"/>
      <c r="G80" s="16"/>
      <c r="H80" s="19" t="str">
        <f>IF($B80="","",IFERROR(INDEX(Jobs!$I$2:$I$501,MATCH($B80,Jobs!$A$2:$A$501,0)),""))</f>
        <v/>
      </c>
      <c r="I80" s="19" t="str">
        <f>IF($B80="","",IFERROR(INDEX(Jobs!$K$2:$K$501,MATCH($B80,Jobs!$A$2:$A$501,0)),""))</f>
        <v/>
      </c>
      <c r="J80" s="16"/>
    </row>
    <row r="81" spans="1:10" x14ac:dyDescent="0.3">
      <c r="A81" s="15" t="str">
        <f t="shared" si="1"/>
        <v/>
      </c>
      <c r="B81" s="16"/>
      <c r="C81" s="15" t="str">
        <f>IF($B81="","",IFERROR(INDEX(Jobs!$B$2:$B$501,MATCH($B81,Jobs!$A$2:$A$501,0)),""))</f>
        <v/>
      </c>
      <c r="D81" s="17"/>
      <c r="E81" s="18"/>
      <c r="F81" s="16"/>
      <c r="G81" s="16"/>
      <c r="H81" s="19" t="str">
        <f>IF($B81="","",IFERROR(INDEX(Jobs!$I$2:$I$501,MATCH($B81,Jobs!$A$2:$A$501,0)),""))</f>
        <v/>
      </c>
      <c r="I81" s="19" t="str">
        <f>IF($B81="","",IFERROR(INDEX(Jobs!$K$2:$K$501,MATCH($B81,Jobs!$A$2:$A$501,0)),""))</f>
        <v/>
      </c>
      <c r="J81" s="16"/>
    </row>
    <row r="82" spans="1:10" x14ac:dyDescent="0.3">
      <c r="A82" s="15" t="str">
        <f t="shared" si="1"/>
        <v/>
      </c>
      <c r="B82" s="16"/>
      <c r="C82" s="15" t="str">
        <f>IF($B82="","",IFERROR(INDEX(Jobs!$B$2:$B$501,MATCH($B82,Jobs!$A$2:$A$501,0)),""))</f>
        <v/>
      </c>
      <c r="D82" s="17"/>
      <c r="E82" s="18"/>
      <c r="F82" s="16"/>
      <c r="G82" s="16"/>
      <c r="H82" s="19" t="str">
        <f>IF($B82="","",IFERROR(INDEX(Jobs!$I$2:$I$501,MATCH($B82,Jobs!$A$2:$A$501,0)),""))</f>
        <v/>
      </c>
      <c r="I82" s="19" t="str">
        <f>IF($B82="","",IFERROR(INDEX(Jobs!$K$2:$K$501,MATCH($B82,Jobs!$A$2:$A$501,0)),""))</f>
        <v/>
      </c>
      <c r="J82" s="16"/>
    </row>
    <row r="83" spans="1:10" x14ac:dyDescent="0.3">
      <c r="A83" s="15" t="str">
        <f t="shared" si="1"/>
        <v/>
      </c>
      <c r="B83" s="16"/>
      <c r="C83" s="15" t="str">
        <f>IF($B83="","",IFERROR(INDEX(Jobs!$B$2:$B$501,MATCH($B83,Jobs!$A$2:$A$501,0)),""))</f>
        <v/>
      </c>
      <c r="D83" s="17"/>
      <c r="E83" s="18"/>
      <c r="F83" s="16"/>
      <c r="G83" s="16"/>
      <c r="H83" s="19" t="str">
        <f>IF($B83="","",IFERROR(INDEX(Jobs!$I$2:$I$501,MATCH($B83,Jobs!$A$2:$A$501,0)),""))</f>
        <v/>
      </c>
      <c r="I83" s="19" t="str">
        <f>IF($B83="","",IFERROR(INDEX(Jobs!$K$2:$K$501,MATCH($B83,Jobs!$A$2:$A$501,0)),""))</f>
        <v/>
      </c>
      <c r="J83" s="16"/>
    </row>
    <row r="84" spans="1:10" x14ac:dyDescent="0.3">
      <c r="A84" s="15" t="str">
        <f t="shared" si="1"/>
        <v/>
      </c>
      <c r="B84" s="16"/>
      <c r="C84" s="15" t="str">
        <f>IF($B84="","",IFERROR(INDEX(Jobs!$B$2:$B$501,MATCH($B84,Jobs!$A$2:$A$501,0)),""))</f>
        <v/>
      </c>
      <c r="D84" s="17"/>
      <c r="E84" s="18"/>
      <c r="F84" s="16"/>
      <c r="G84" s="16"/>
      <c r="H84" s="19" t="str">
        <f>IF($B84="","",IFERROR(INDEX(Jobs!$I$2:$I$501,MATCH($B84,Jobs!$A$2:$A$501,0)),""))</f>
        <v/>
      </c>
      <c r="I84" s="19" t="str">
        <f>IF($B84="","",IFERROR(INDEX(Jobs!$K$2:$K$501,MATCH($B84,Jobs!$A$2:$A$501,0)),""))</f>
        <v/>
      </c>
      <c r="J84" s="16"/>
    </row>
    <row r="85" spans="1:10" x14ac:dyDescent="0.3">
      <c r="A85" s="15" t="str">
        <f t="shared" si="1"/>
        <v/>
      </c>
      <c r="B85" s="16"/>
      <c r="C85" s="15" t="str">
        <f>IF($B85="","",IFERROR(INDEX(Jobs!$B$2:$B$501,MATCH($B85,Jobs!$A$2:$A$501,0)),""))</f>
        <v/>
      </c>
      <c r="D85" s="17"/>
      <c r="E85" s="18"/>
      <c r="F85" s="16"/>
      <c r="G85" s="16"/>
      <c r="H85" s="19" t="str">
        <f>IF($B85="","",IFERROR(INDEX(Jobs!$I$2:$I$501,MATCH($B85,Jobs!$A$2:$A$501,0)),""))</f>
        <v/>
      </c>
      <c r="I85" s="19" t="str">
        <f>IF($B85="","",IFERROR(INDEX(Jobs!$K$2:$K$501,MATCH($B85,Jobs!$A$2:$A$501,0)),""))</f>
        <v/>
      </c>
      <c r="J85" s="16"/>
    </row>
    <row r="86" spans="1:10" x14ac:dyDescent="0.3">
      <c r="A86" s="15" t="str">
        <f t="shared" si="1"/>
        <v/>
      </c>
      <c r="B86" s="16"/>
      <c r="C86" s="15" t="str">
        <f>IF($B86="","",IFERROR(INDEX(Jobs!$B$2:$B$501,MATCH($B86,Jobs!$A$2:$A$501,0)),""))</f>
        <v/>
      </c>
      <c r="D86" s="17"/>
      <c r="E86" s="18"/>
      <c r="F86" s="16"/>
      <c r="G86" s="16"/>
      <c r="H86" s="19" t="str">
        <f>IF($B86="","",IFERROR(INDEX(Jobs!$I$2:$I$501,MATCH($B86,Jobs!$A$2:$A$501,0)),""))</f>
        <v/>
      </c>
      <c r="I86" s="19" t="str">
        <f>IF($B86="","",IFERROR(INDEX(Jobs!$K$2:$K$501,MATCH($B86,Jobs!$A$2:$A$501,0)),""))</f>
        <v/>
      </c>
      <c r="J86" s="16"/>
    </row>
    <row r="87" spans="1:10" x14ac:dyDescent="0.3">
      <c r="A87" s="15" t="str">
        <f t="shared" si="1"/>
        <v/>
      </c>
      <c r="B87" s="16"/>
      <c r="C87" s="15" t="str">
        <f>IF($B87="","",IFERROR(INDEX(Jobs!$B$2:$B$501,MATCH($B87,Jobs!$A$2:$A$501,0)),""))</f>
        <v/>
      </c>
      <c r="D87" s="17"/>
      <c r="E87" s="18"/>
      <c r="F87" s="16"/>
      <c r="G87" s="16"/>
      <c r="H87" s="19" t="str">
        <f>IF($B87="","",IFERROR(INDEX(Jobs!$I$2:$I$501,MATCH($B87,Jobs!$A$2:$A$501,0)),""))</f>
        <v/>
      </c>
      <c r="I87" s="19" t="str">
        <f>IF($B87="","",IFERROR(INDEX(Jobs!$K$2:$K$501,MATCH($B87,Jobs!$A$2:$A$501,0)),""))</f>
        <v/>
      </c>
      <c r="J87" s="16"/>
    </row>
    <row r="88" spans="1:10" x14ac:dyDescent="0.3">
      <c r="A88" s="15" t="str">
        <f t="shared" si="1"/>
        <v/>
      </c>
      <c r="B88" s="16"/>
      <c r="C88" s="15" t="str">
        <f>IF($B88="","",IFERROR(INDEX(Jobs!$B$2:$B$501,MATCH($B88,Jobs!$A$2:$A$501,0)),""))</f>
        <v/>
      </c>
      <c r="D88" s="17"/>
      <c r="E88" s="18"/>
      <c r="F88" s="16"/>
      <c r="G88" s="16"/>
      <c r="H88" s="19" t="str">
        <f>IF($B88="","",IFERROR(INDEX(Jobs!$I$2:$I$501,MATCH($B88,Jobs!$A$2:$A$501,0)),""))</f>
        <v/>
      </c>
      <c r="I88" s="19" t="str">
        <f>IF($B88="","",IFERROR(INDEX(Jobs!$K$2:$K$501,MATCH($B88,Jobs!$A$2:$A$501,0)),""))</f>
        <v/>
      </c>
      <c r="J88" s="16"/>
    </row>
    <row r="89" spans="1:10" x14ac:dyDescent="0.3">
      <c r="A89" s="15" t="str">
        <f t="shared" si="1"/>
        <v/>
      </c>
      <c r="B89" s="16"/>
      <c r="C89" s="15" t="str">
        <f>IF($B89="","",IFERROR(INDEX(Jobs!$B$2:$B$501,MATCH($B89,Jobs!$A$2:$A$501,0)),""))</f>
        <v/>
      </c>
      <c r="D89" s="17"/>
      <c r="E89" s="18"/>
      <c r="F89" s="16"/>
      <c r="G89" s="16"/>
      <c r="H89" s="19" t="str">
        <f>IF($B89="","",IFERROR(INDEX(Jobs!$I$2:$I$501,MATCH($B89,Jobs!$A$2:$A$501,0)),""))</f>
        <v/>
      </c>
      <c r="I89" s="19" t="str">
        <f>IF($B89="","",IFERROR(INDEX(Jobs!$K$2:$K$501,MATCH($B89,Jobs!$A$2:$A$501,0)),""))</f>
        <v/>
      </c>
      <c r="J89" s="16"/>
    </row>
    <row r="90" spans="1:10" x14ac:dyDescent="0.3">
      <c r="A90" s="15" t="str">
        <f t="shared" si="1"/>
        <v/>
      </c>
      <c r="B90" s="16"/>
      <c r="C90" s="15" t="str">
        <f>IF($B90="","",IFERROR(INDEX(Jobs!$B$2:$B$501,MATCH($B90,Jobs!$A$2:$A$501,0)),""))</f>
        <v/>
      </c>
      <c r="D90" s="17"/>
      <c r="E90" s="18"/>
      <c r="F90" s="16"/>
      <c r="G90" s="16"/>
      <c r="H90" s="19" t="str">
        <f>IF($B90="","",IFERROR(INDEX(Jobs!$I$2:$I$501,MATCH($B90,Jobs!$A$2:$A$501,0)),""))</f>
        <v/>
      </c>
      <c r="I90" s="19" t="str">
        <f>IF($B90="","",IFERROR(INDEX(Jobs!$K$2:$K$501,MATCH($B90,Jobs!$A$2:$A$501,0)),""))</f>
        <v/>
      </c>
      <c r="J90" s="16"/>
    </row>
    <row r="91" spans="1:10" x14ac:dyDescent="0.3">
      <c r="A91" s="15" t="str">
        <f t="shared" si="1"/>
        <v/>
      </c>
      <c r="B91" s="16"/>
      <c r="C91" s="15" t="str">
        <f>IF($B91="","",IFERROR(INDEX(Jobs!$B$2:$B$501,MATCH($B91,Jobs!$A$2:$A$501,0)),""))</f>
        <v/>
      </c>
      <c r="D91" s="17"/>
      <c r="E91" s="18"/>
      <c r="F91" s="16"/>
      <c r="G91" s="16"/>
      <c r="H91" s="19" t="str">
        <f>IF($B91="","",IFERROR(INDEX(Jobs!$I$2:$I$501,MATCH($B91,Jobs!$A$2:$A$501,0)),""))</f>
        <v/>
      </c>
      <c r="I91" s="19" t="str">
        <f>IF($B91="","",IFERROR(INDEX(Jobs!$K$2:$K$501,MATCH($B91,Jobs!$A$2:$A$501,0)),""))</f>
        <v/>
      </c>
      <c r="J91" s="16"/>
    </row>
    <row r="92" spans="1:10" x14ac:dyDescent="0.3">
      <c r="A92" s="15" t="str">
        <f t="shared" si="1"/>
        <v/>
      </c>
      <c r="B92" s="16"/>
      <c r="C92" s="15" t="str">
        <f>IF($B92="","",IFERROR(INDEX(Jobs!$B$2:$B$501,MATCH($B92,Jobs!$A$2:$A$501,0)),""))</f>
        <v/>
      </c>
      <c r="D92" s="17"/>
      <c r="E92" s="18"/>
      <c r="F92" s="16"/>
      <c r="G92" s="16"/>
      <c r="H92" s="19" t="str">
        <f>IF($B92="","",IFERROR(INDEX(Jobs!$I$2:$I$501,MATCH($B92,Jobs!$A$2:$A$501,0)),""))</f>
        <v/>
      </c>
      <c r="I92" s="19" t="str">
        <f>IF($B92="","",IFERROR(INDEX(Jobs!$K$2:$K$501,MATCH($B92,Jobs!$A$2:$A$501,0)),""))</f>
        <v/>
      </c>
      <c r="J92" s="16"/>
    </row>
    <row r="93" spans="1:10" x14ac:dyDescent="0.3">
      <c r="A93" s="15" t="str">
        <f t="shared" si="1"/>
        <v/>
      </c>
      <c r="B93" s="16"/>
      <c r="C93" s="15" t="str">
        <f>IF($B93="","",IFERROR(INDEX(Jobs!$B$2:$B$501,MATCH($B93,Jobs!$A$2:$A$501,0)),""))</f>
        <v/>
      </c>
      <c r="D93" s="17"/>
      <c r="E93" s="18"/>
      <c r="F93" s="16"/>
      <c r="G93" s="16"/>
      <c r="H93" s="19" t="str">
        <f>IF($B93="","",IFERROR(INDEX(Jobs!$I$2:$I$501,MATCH($B93,Jobs!$A$2:$A$501,0)),""))</f>
        <v/>
      </c>
      <c r="I93" s="19" t="str">
        <f>IF($B93="","",IFERROR(INDEX(Jobs!$K$2:$K$501,MATCH($B93,Jobs!$A$2:$A$501,0)),""))</f>
        <v/>
      </c>
      <c r="J93" s="16"/>
    </row>
    <row r="94" spans="1:10" x14ac:dyDescent="0.3">
      <c r="A94" s="15" t="str">
        <f t="shared" si="1"/>
        <v/>
      </c>
      <c r="B94" s="16"/>
      <c r="C94" s="15" t="str">
        <f>IF($B94="","",IFERROR(INDEX(Jobs!$B$2:$B$501,MATCH($B94,Jobs!$A$2:$A$501,0)),""))</f>
        <v/>
      </c>
      <c r="D94" s="17"/>
      <c r="E94" s="18"/>
      <c r="F94" s="16"/>
      <c r="G94" s="16"/>
      <c r="H94" s="19" t="str">
        <f>IF($B94="","",IFERROR(INDEX(Jobs!$I$2:$I$501,MATCH($B94,Jobs!$A$2:$A$501,0)),""))</f>
        <v/>
      </c>
      <c r="I94" s="19" t="str">
        <f>IF($B94="","",IFERROR(INDEX(Jobs!$K$2:$K$501,MATCH($B94,Jobs!$A$2:$A$501,0)),""))</f>
        <v/>
      </c>
      <c r="J94" s="16"/>
    </row>
    <row r="95" spans="1:10" x14ac:dyDescent="0.3">
      <c r="A95" s="15" t="str">
        <f t="shared" si="1"/>
        <v/>
      </c>
      <c r="B95" s="16"/>
      <c r="C95" s="15" t="str">
        <f>IF($B95="","",IFERROR(INDEX(Jobs!$B$2:$B$501,MATCH($B95,Jobs!$A$2:$A$501,0)),""))</f>
        <v/>
      </c>
      <c r="D95" s="17"/>
      <c r="E95" s="18"/>
      <c r="F95" s="16"/>
      <c r="G95" s="16"/>
      <c r="H95" s="19" t="str">
        <f>IF($B95="","",IFERROR(INDEX(Jobs!$I$2:$I$501,MATCH($B95,Jobs!$A$2:$A$501,0)),""))</f>
        <v/>
      </c>
      <c r="I95" s="19" t="str">
        <f>IF($B95="","",IFERROR(INDEX(Jobs!$K$2:$K$501,MATCH($B95,Jobs!$A$2:$A$501,0)),""))</f>
        <v/>
      </c>
      <c r="J95" s="16"/>
    </row>
    <row r="96" spans="1:10" x14ac:dyDescent="0.3">
      <c r="A96" s="15" t="str">
        <f t="shared" si="1"/>
        <v/>
      </c>
      <c r="B96" s="16"/>
      <c r="C96" s="15" t="str">
        <f>IF($B96="","",IFERROR(INDEX(Jobs!$B$2:$B$501,MATCH($B96,Jobs!$A$2:$A$501,0)),""))</f>
        <v/>
      </c>
      <c r="D96" s="17"/>
      <c r="E96" s="18"/>
      <c r="F96" s="16"/>
      <c r="G96" s="16"/>
      <c r="H96" s="19" t="str">
        <f>IF($B96="","",IFERROR(INDEX(Jobs!$I$2:$I$501,MATCH($B96,Jobs!$A$2:$A$501,0)),""))</f>
        <v/>
      </c>
      <c r="I96" s="19" t="str">
        <f>IF($B96="","",IFERROR(INDEX(Jobs!$K$2:$K$501,MATCH($B96,Jobs!$A$2:$A$501,0)),""))</f>
        <v/>
      </c>
      <c r="J96" s="16"/>
    </row>
    <row r="97" spans="1:10" x14ac:dyDescent="0.3">
      <c r="A97" s="15" t="str">
        <f t="shared" si="1"/>
        <v/>
      </c>
      <c r="B97" s="16"/>
      <c r="C97" s="15" t="str">
        <f>IF($B97="","",IFERROR(INDEX(Jobs!$B$2:$B$501,MATCH($B97,Jobs!$A$2:$A$501,0)),""))</f>
        <v/>
      </c>
      <c r="D97" s="17"/>
      <c r="E97" s="18"/>
      <c r="F97" s="16"/>
      <c r="G97" s="16"/>
      <c r="H97" s="19" t="str">
        <f>IF($B97="","",IFERROR(INDEX(Jobs!$I$2:$I$501,MATCH($B97,Jobs!$A$2:$A$501,0)),""))</f>
        <v/>
      </c>
      <c r="I97" s="19" t="str">
        <f>IF($B97="","",IFERROR(INDEX(Jobs!$K$2:$K$501,MATCH($B97,Jobs!$A$2:$A$501,0)),""))</f>
        <v/>
      </c>
      <c r="J97" s="16"/>
    </row>
    <row r="98" spans="1:10" x14ac:dyDescent="0.3">
      <c r="A98" s="15" t="str">
        <f t="shared" si="1"/>
        <v/>
      </c>
      <c r="B98" s="16"/>
      <c r="C98" s="15" t="str">
        <f>IF($B98="","",IFERROR(INDEX(Jobs!$B$2:$B$501,MATCH($B98,Jobs!$A$2:$A$501,0)),""))</f>
        <v/>
      </c>
      <c r="D98" s="17"/>
      <c r="E98" s="18"/>
      <c r="F98" s="16"/>
      <c r="G98" s="16"/>
      <c r="H98" s="19" t="str">
        <f>IF($B98="","",IFERROR(INDEX(Jobs!$I$2:$I$501,MATCH($B98,Jobs!$A$2:$A$501,0)),""))</f>
        <v/>
      </c>
      <c r="I98" s="19" t="str">
        <f>IF($B98="","",IFERROR(INDEX(Jobs!$K$2:$K$501,MATCH($B98,Jobs!$A$2:$A$501,0)),""))</f>
        <v/>
      </c>
      <c r="J98" s="16"/>
    </row>
    <row r="99" spans="1:10" x14ac:dyDescent="0.3">
      <c r="A99" s="15" t="str">
        <f t="shared" si="1"/>
        <v/>
      </c>
      <c r="B99" s="16"/>
      <c r="C99" s="15" t="str">
        <f>IF($B99="","",IFERROR(INDEX(Jobs!$B$2:$B$501,MATCH($B99,Jobs!$A$2:$A$501,0)),""))</f>
        <v/>
      </c>
      <c r="D99" s="17"/>
      <c r="E99" s="18"/>
      <c r="F99" s="16"/>
      <c r="G99" s="16"/>
      <c r="H99" s="19" t="str">
        <f>IF($B99="","",IFERROR(INDEX(Jobs!$I$2:$I$501,MATCH($B99,Jobs!$A$2:$A$501,0)),""))</f>
        <v/>
      </c>
      <c r="I99" s="19" t="str">
        <f>IF($B99="","",IFERROR(INDEX(Jobs!$K$2:$K$501,MATCH($B99,Jobs!$A$2:$A$501,0)),""))</f>
        <v/>
      </c>
      <c r="J99" s="16"/>
    </row>
    <row r="100" spans="1:10" x14ac:dyDescent="0.3">
      <c r="A100" s="15" t="str">
        <f t="shared" si="1"/>
        <v/>
      </c>
      <c r="B100" s="16"/>
      <c r="C100" s="15" t="str">
        <f>IF($B100="","",IFERROR(INDEX(Jobs!$B$2:$B$501,MATCH($B100,Jobs!$A$2:$A$501,0)),""))</f>
        <v/>
      </c>
      <c r="D100" s="17"/>
      <c r="E100" s="18"/>
      <c r="F100" s="16"/>
      <c r="G100" s="16"/>
      <c r="H100" s="19" t="str">
        <f>IF($B100="","",IFERROR(INDEX(Jobs!$I$2:$I$501,MATCH($B100,Jobs!$A$2:$A$501,0)),""))</f>
        <v/>
      </c>
      <c r="I100" s="19" t="str">
        <f>IF($B100="","",IFERROR(INDEX(Jobs!$K$2:$K$501,MATCH($B100,Jobs!$A$2:$A$501,0)),""))</f>
        <v/>
      </c>
      <c r="J100" s="16"/>
    </row>
    <row r="101" spans="1:10" x14ac:dyDescent="0.3">
      <c r="A101" s="15" t="str">
        <f t="shared" si="1"/>
        <v/>
      </c>
      <c r="B101" s="16"/>
      <c r="C101" s="15" t="str">
        <f>IF($B101="","",IFERROR(INDEX(Jobs!$B$2:$B$501,MATCH($B101,Jobs!$A$2:$A$501,0)),""))</f>
        <v/>
      </c>
      <c r="D101" s="17"/>
      <c r="E101" s="18"/>
      <c r="F101" s="16"/>
      <c r="G101" s="16"/>
      <c r="H101" s="19" t="str">
        <f>IF($B101="","",IFERROR(INDEX(Jobs!$I$2:$I$501,MATCH($B101,Jobs!$A$2:$A$501,0)),""))</f>
        <v/>
      </c>
      <c r="I101" s="19" t="str">
        <f>IF($B101="","",IFERROR(INDEX(Jobs!$K$2:$K$501,MATCH($B101,Jobs!$A$2:$A$501,0)),""))</f>
        <v/>
      </c>
      <c r="J101" s="16"/>
    </row>
    <row r="102" spans="1:10" x14ac:dyDescent="0.3">
      <c r="A102" s="15" t="str">
        <f t="shared" si="1"/>
        <v/>
      </c>
      <c r="B102" s="16"/>
      <c r="C102" s="15" t="str">
        <f>IF($B102="","",IFERROR(INDEX(Jobs!$B$2:$B$501,MATCH($B102,Jobs!$A$2:$A$501,0)),""))</f>
        <v/>
      </c>
      <c r="D102" s="17"/>
      <c r="E102" s="18"/>
      <c r="F102" s="16"/>
      <c r="G102" s="16"/>
      <c r="H102" s="19" t="str">
        <f>IF($B102="","",IFERROR(INDEX(Jobs!$I$2:$I$501,MATCH($B102,Jobs!$A$2:$A$501,0)),""))</f>
        <v/>
      </c>
      <c r="I102" s="19" t="str">
        <f>IF($B102="","",IFERROR(INDEX(Jobs!$K$2:$K$501,MATCH($B102,Jobs!$A$2:$A$501,0)),""))</f>
        <v/>
      </c>
      <c r="J102" s="16"/>
    </row>
    <row r="103" spans="1:10" x14ac:dyDescent="0.3">
      <c r="A103" s="15" t="str">
        <f t="shared" si="1"/>
        <v/>
      </c>
      <c r="B103" s="16"/>
      <c r="C103" s="15" t="str">
        <f>IF($B103="","",IFERROR(INDEX(Jobs!$B$2:$B$501,MATCH($B103,Jobs!$A$2:$A$501,0)),""))</f>
        <v/>
      </c>
      <c r="D103" s="17"/>
      <c r="E103" s="18"/>
      <c r="F103" s="16"/>
      <c r="G103" s="16"/>
      <c r="H103" s="19" t="str">
        <f>IF($B103="","",IFERROR(INDEX(Jobs!$I$2:$I$501,MATCH($B103,Jobs!$A$2:$A$501,0)),""))</f>
        <v/>
      </c>
      <c r="I103" s="19" t="str">
        <f>IF($B103="","",IFERROR(INDEX(Jobs!$K$2:$K$501,MATCH($B103,Jobs!$A$2:$A$501,0)),""))</f>
        <v/>
      </c>
      <c r="J103" s="16"/>
    </row>
    <row r="104" spans="1:10" x14ac:dyDescent="0.3">
      <c r="A104" s="15" t="str">
        <f t="shared" si="1"/>
        <v/>
      </c>
      <c r="B104" s="16"/>
      <c r="C104" s="15" t="str">
        <f>IF($B104="","",IFERROR(INDEX(Jobs!$B$2:$B$501,MATCH($B104,Jobs!$A$2:$A$501,0)),""))</f>
        <v/>
      </c>
      <c r="D104" s="17"/>
      <c r="E104" s="18"/>
      <c r="F104" s="16"/>
      <c r="G104" s="16"/>
      <c r="H104" s="19" t="str">
        <f>IF($B104="","",IFERROR(INDEX(Jobs!$I$2:$I$501,MATCH($B104,Jobs!$A$2:$A$501,0)),""))</f>
        <v/>
      </c>
      <c r="I104" s="19" t="str">
        <f>IF($B104="","",IFERROR(INDEX(Jobs!$K$2:$K$501,MATCH($B104,Jobs!$A$2:$A$501,0)),""))</f>
        <v/>
      </c>
      <c r="J104" s="16"/>
    </row>
    <row r="105" spans="1:10" x14ac:dyDescent="0.3">
      <c r="A105" s="15" t="str">
        <f t="shared" si="1"/>
        <v/>
      </c>
      <c r="B105" s="16"/>
      <c r="C105" s="15" t="str">
        <f>IF($B105="","",IFERROR(INDEX(Jobs!$B$2:$B$501,MATCH($B105,Jobs!$A$2:$A$501,0)),""))</f>
        <v/>
      </c>
      <c r="D105" s="17"/>
      <c r="E105" s="18"/>
      <c r="F105" s="16"/>
      <c r="G105" s="16"/>
      <c r="H105" s="19" t="str">
        <f>IF($B105="","",IFERROR(INDEX(Jobs!$I$2:$I$501,MATCH($B105,Jobs!$A$2:$A$501,0)),""))</f>
        <v/>
      </c>
      <c r="I105" s="19" t="str">
        <f>IF($B105="","",IFERROR(INDEX(Jobs!$K$2:$K$501,MATCH($B105,Jobs!$A$2:$A$501,0)),""))</f>
        <v/>
      </c>
      <c r="J105" s="16"/>
    </row>
    <row r="106" spans="1:10" x14ac:dyDescent="0.3">
      <c r="A106" s="15" t="str">
        <f t="shared" si="1"/>
        <v/>
      </c>
      <c r="B106" s="16"/>
      <c r="C106" s="15" t="str">
        <f>IF($B106="","",IFERROR(INDEX(Jobs!$B$2:$B$501,MATCH($B106,Jobs!$A$2:$A$501,0)),""))</f>
        <v/>
      </c>
      <c r="D106" s="17"/>
      <c r="E106" s="18"/>
      <c r="F106" s="16"/>
      <c r="G106" s="16"/>
      <c r="H106" s="19" t="str">
        <f>IF($B106="","",IFERROR(INDEX(Jobs!$I$2:$I$501,MATCH($B106,Jobs!$A$2:$A$501,0)),""))</f>
        <v/>
      </c>
      <c r="I106" s="19" t="str">
        <f>IF($B106="","",IFERROR(INDEX(Jobs!$K$2:$K$501,MATCH($B106,Jobs!$A$2:$A$501,0)),""))</f>
        <v/>
      </c>
      <c r="J106" s="16"/>
    </row>
    <row r="107" spans="1:10" x14ac:dyDescent="0.3">
      <c r="A107" s="15" t="str">
        <f t="shared" si="1"/>
        <v/>
      </c>
      <c r="B107" s="16"/>
      <c r="C107" s="15" t="str">
        <f>IF($B107="","",IFERROR(INDEX(Jobs!$B$2:$B$501,MATCH($B107,Jobs!$A$2:$A$501,0)),""))</f>
        <v/>
      </c>
      <c r="D107" s="17"/>
      <c r="E107" s="18"/>
      <c r="F107" s="16"/>
      <c r="G107" s="16"/>
      <c r="H107" s="19" t="str">
        <f>IF($B107="","",IFERROR(INDEX(Jobs!$I$2:$I$501,MATCH($B107,Jobs!$A$2:$A$501,0)),""))</f>
        <v/>
      </c>
      <c r="I107" s="19" t="str">
        <f>IF($B107="","",IFERROR(INDEX(Jobs!$K$2:$K$501,MATCH($B107,Jobs!$A$2:$A$501,0)),""))</f>
        <v/>
      </c>
      <c r="J107" s="16"/>
    </row>
    <row r="108" spans="1:10" x14ac:dyDescent="0.3">
      <c r="A108" s="15" t="str">
        <f t="shared" si="1"/>
        <v/>
      </c>
      <c r="B108" s="16"/>
      <c r="C108" s="15" t="str">
        <f>IF($B108="","",IFERROR(INDEX(Jobs!$B$2:$B$501,MATCH($B108,Jobs!$A$2:$A$501,0)),""))</f>
        <v/>
      </c>
      <c r="D108" s="17"/>
      <c r="E108" s="18"/>
      <c r="F108" s="16"/>
      <c r="G108" s="16"/>
      <c r="H108" s="19" t="str">
        <f>IF($B108="","",IFERROR(INDEX(Jobs!$I$2:$I$501,MATCH($B108,Jobs!$A$2:$A$501,0)),""))</f>
        <v/>
      </c>
      <c r="I108" s="19" t="str">
        <f>IF($B108="","",IFERROR(INDEX(Jobs!$K$2:$K$501,MATCH($B108,Jobs!$A$2:$A$501,0)),""))</f>
        <v/>
      </c>
      <c r="J108" s="16"/>
    </row>
    <row r="109" spans="1:10" x14ac:dyDescent="0.3">
      <c r="A109" s="15" t="str">
        <f t="shared" si="1"/>
        <v/>
      </c>
      <c r="B109" s="16"/>
      <c r="C109" s="15" t="str">
        <f>IF($B109="","",IFERROR(INDEX(Jobs!$B$2:$B$501,MATCH($B109,Jobs!$A$2:$A$501,0)),""))</f>
        <v/>
      </c>
      <c r="D109" s="17"/>
      <c r="E109" s="18"/>
      <c r="F109" s="16"/>
      <c r="G109" s="16"/>
      <c r="H109" s="19" t="str">
        <f>IF($B109="","",IFERROR(INDEX(Jobs!$I$2:$I$501,MATCH($B109,Jobs!$A$2:$A$501,0)),""))</f>
        <v/>
      </c>
      <c r="I109" s="19" t="str">
        <f>IF($B109="","",IFERROR(INDEX(Jobs!$K$2:$K$501,MATCH($B109,Jobs!$A$2:$A$501,0)),""))</f>
        <v/>
      </c>
      <c r="J109" s="16"/>
    </row>
    <row r="110" spans="1:10" x14ac:dyDescent="0.3">
      <c r="A110" s="15" t="str">
        <f t="shared" si="1"/>
        <v/>
      </c>
      <c r="B110" s="16"/>
      <c r="C110" s="15" t="str">
        <f>IF($B110="","",IFERROR(INDEX(Jobs!$B$2:$B$501,MATCH($B110,Jobs!$A$2:$A$501,0)),""))</f>
        <v/>
      </c>
      <c r="D110" s="17"/>
      <c r="E110" s="18"/>
      <c r="F110" s="16"/>
      <c r="G110" s="16"/>
      <c r="H110" s="19" t="str">
        <f>IF($B110="","",IFERROR(INDEX(Jobs!$I$2:$I$501,MATCH($B110,Jobs!$A$2:$A$501,0)),""))</f>
        <v/>
      </c>
      <c r="I110" s="19" t="str">
        <f>IF($B110="","",IFERROR(INDEX(Jobs!$K$2:$K$501,MATCH($B110,Jobs!$A$2:$A$501,0)),""))</f>
        <v/>
      </c>
      <c r="J110" s="16"/>
    </row>
    <row r="111" spans="1:10" x14ac:dyDescent="0.3">
      <c r="A111" s="15" t="str">
        <f t="shared" si="1"/>
        <v/>
      </c>
      <c r="B111" s="16"/>
      <c r="C111" s="15" t="str">
        <f>IF($B111="","",IFERROR(INDEX(Jobs!$B$2:$B$501,MATCH($B111,Jobs!$A$2:$A$501,0)),""))</f>
        <v/>
      </c>
      <c r="D111" s="17"/>
      <c r="E111" s="18"/>
      <c r="F111" s="16"/>
      <c r="G111" s="16"/>
      <c r="H111" s="19" t="str">
        <f>IF($B111="","",IFERROR(INDEX(Jobs!$I$2:$I$501,MATCH($B111,Jobs!$A$2:$A$501,0)),""))</f>
        <v/>
      </c>
      <c r="I111" s="19" t="str">
        <f>IF($B111="","",IFERROR(INDEX(Jobs!$K$2:$K$501,MATCH($B111,Jobs!$A$2:$A$501,0)),""))</f>
        <v/>
      </c>
      <c r="J111" s="16"/>
    </row>
    <row r="112" spans="1:10" x14ac:dyDescent="0.3">
      <c r="A112" s="15" t="str">
        <f t="shared" si="1"/>
        <v/>
      </c>
      <c r="B112" s="16"/>
      <c r="C112" s="15" t="str">
        <f>IF($B112="","",IFERROR(INDEX(Jobs!$B$2:$B$501,MATCH($B112,Jobs!$A$2:$A$501,0)),""))</f>
        <v/>
      </c>
      <c r="D112" s="17"/>
      <c r="E112" s="18"/>
      <c r="F112" s="16"/>
      <c r="G112" s="16"/>
      <c r="H112" s="19" t="str">
        <f>IF($B112="","",IFERROR(INDEX(Jobs!$I$2:$I$501,MATCH($B112,Jobs!$A$2:$A$501,0)),""))</f>
        <v/>
      </c>
      <c r="I112" s="19" t="str">
        <f>IF($B112="","",IFERROR(INDEX(Jobs!$K$2:$K$501,MATCH($B112,Jobs!$A$2:$A$501,0)),""))</f>
        <v/>
      </c>
      <c r="J112" s="16"/>
    </row>
    <row r="113" spans="1:10" x14ac:dyDescent="0.3">
      <c r="A113" s="15" t="str">
        <f t="shared" si="1"/>
        <v/>
      </c>
      <c r="B113" s="16"/>
      <c r="C113" s="15" t="str">
        <f>IF($B113="","",IFERROR(INDEX(Jobs!$B$2:$B$501,MATCH($B113,Jobs!$A$2:$A$501,0)),""))</f>
        <v/>
      </c>
      <c r="D113" s="17"/>
      <c r="E113" s="18"/>
      <c r="F113" s="16"/>
      <c r="G113" s="16"/>
      <c r="H113" s="19" t="str">
        <f>IF($B113="","",IFERROR(INDEX(Jobs!$I$2:$I$501,MATCH($B113,Jobs!$A$2:$A$501,0)),""))</f>
        <v/>
      </c>
      <c r="I113" s="19" t="str">
        <f>IF($B113="","",IFERROR(INDEX(Jobs!$K$2:$K$501,MATCH($B113,Jobs!$A$2:$A$501,0)),""))</f>
        <v/>
      </c>
      <c r="J113" s="16"/>
    </row>
    <row r="114" spans="1:10" x14ac:dyDescent="0.3">
      <c r="A114" s="15" t="str">
        <f t="shared" si="1"/>
        <v/>
      </c>
      <c r="B114" s="16"/>
      <c r="C114" s="15" t="str">
        <f>IF($B114="","",IFERROR(INDEX(Jobs!$B$2:$B$501,MATCH($B114,Jobs!$A$2:$A$501,0)),""))</f>
        <v/>
      </c>
      <c r="D114" s="17"/>
      <c r="E114" s="18"/>
      <c r="F114" s="16"/>
      <c r="G114" s="16"/>
      <c r="H114" s="19" t="str">
        <f>IF($B114="","",IFERROR(INDEX(Jobs!$I$2:$I$501,MATCH($B114,Jobs!$A$2:$A$501,0)),""))</f>
        <v/>
      </c>
      <c r="I114" s="19" t="str">
        <f>IF($B114="","",IFERROR(INDEX(Jobs!$K$2:$K$501,MATCH($B114,Jobs!$A$2:$A$501,0)),""))</f>
        <v/>
      </c>
      <c r="J114" s="16"/>
    </row>
    <row r="115" spans="1:10" x14ac:dyDescent="0.3">
      <c r="A115" s="15" t="str">
        <f t="shared" si="1"/>
        <v/>
      </c>
      <c r="B115" s="16"/>
      <c r="C115" s="15" t="str">
        <f>IF($B115="","",IFERROR(INDEX(Jobs!$B$2:$B$501,MATCH($B115,Jobs!$A$2:$A$501,0)),""))</f>
        <v/>
      </c>
      <c r="D115" s="17"/>
      <c r="E115" s="18"/>
      <c r="F115" s="16"/>
      <c r="G115" s="16"/>
      <c r="H115" s="19" t="str">
        <f>IF($B115="","",IFERROR(INDEX(Jobs!$I$2:$I$501,MATCH($B115,Jobs!$A$2:$A$501,0)),""))</f>
        <v/>
      </c>
      <c r="I115" s="19" t="str">
        <f>IF($B115="","",IFERROR(INDEX(Jobs!$K$2:$K$501,MATCH($B115,Jobs!$A$2:$A$501,0)),""))</f>
        <v/>
      </c>
      <c r="J115" s="16"/>
    </row>
    <row r="116" spans="1:10" x14ac:dyDescent="0.3">
      <c r="A116" s="15" t="str">
        <f t="shared" si="1"/>
        <v/>
      </c>
      <c r="B116" s="16"/>
      <c r="C116" s="15" t="str">
        <f>IF($B116="","",IFERROR(INDEX(Jobs!$B$2:$B$501,MATCH($B116,Jobs!$A$2:$A$501,0)),""))</f>
        <v/>
      </c>
      <c r="D116" s="17"/>
      <c r="E116" s="18"/>
      <c r="F116" s="16"/>
      <c r="G116" s="16"/>
      <c r="H116" s="19" t="str">
        <f>IF($B116="","",IFERROR(INDEX(Jobs!$I$2:$I$501,MATCH($B116,Jobs!$A$2:$A$501,0)),""))</f>
        <v/>
      </c>
      <c r="I116" s="19" t="str">
        <f>IF($B116="","",IFERROR(INDEX(Jobs!$K$2:$K$501,MATCH($B116,Jobs!$A$2:$A$501,0)),""))</f>
        <v/>
      </c>
      <c r="J116" s="16"/>
    </row>
    <row r="117" spans="1:10" x14ac:dyDescent="0.3">
      <c r="A117" s="15" t="str">
        <f t="shared" si="1"/>
        <v/>
      </c>
      <c r="B117" s="16"/>
      <c r="C117" s="15" t="str">
        <f>IF($B117="","",IFERROR(INDEX(Jobs!$B$2:$B$501,MATCH($B117,Jobs!$A$2:$A$501,0)),""))</f>
        <v/>
      </c>
      <c r="D117" s="17"/>
      <c r="E117" s="18"/>
      <c r="F117" s="16"/>
      <c r="G117" s="16"/>
      <c r="H117" s="19" t="str">
        <f>IF($B117="","",IFERROR(INDEX(Jobs!$I$2:$I$501,MATCH($B117,Jobs!$A$2:$A$501,0)),""))</f>
        <v/>
      </c>
      <c r="I117" s="19" t="str">
        <f>IF($B117="","",IFERROR(INDEX(Jobs!$K$2:$K$501,MATCH($B117,Jobs!$A$2:$A$501,0)),""))</f>
        <v/>
      </c>
      <c r="J117" s="16"/>
    </row>
    <row r="118" spans="1:10" x14ac:dyDescent="0.3">
      <c r="A118" s="15" t="str">
        <f t="shared" si="1"/>
        <v/>
      </c>
      <c r="B118" s="16"/>
      <c r="C118" s="15" t="str">
        <f>IF($B118="","",IFERROR(INDEX(Jobs!$B$2:$B$501,MATCH($B118,Jobs!$A$2:$A$501,0)),""))</f>
        <v/>
      </c>
      <c r="D118" s="17"/>
      <c r="E118" s="18"/>
      <c r="F118" s="16"/>
      <c r="G118" s="16"/>
      <c r="H118" s="19" t="str">
        <f>IF($B118="","",IFERROR(INDEX(Jobs!$I$2:$I$501,MATCH($B118,Jobs!$A$2:$A$501,0)),""))</f>
        <v/>
      </c>
      <c r="I118" s="19" t="str">
        <f>IF($B118="","",IFERROR(INDEX(Jobs!$K$2:$K$501,MATCH($B118,Jobs!$A$2:$A$501,0)),""))</f>
        <v/>
      </c>
      <c r="J118" s="16"/>
    </row>
    <row r="119" spans="1:10" x14ac:dyDescent="0.3">
      <c r="A119" s="15" t="str">
        <f t="shared" si="1"/>
        <v/>
      </c>
      <c r="B119" s="16"/>
      <c r="C119" s="15" t="str">
        <f>IF($B119="","",IFERROR(INDEX(Jobs!$B$2:$B$501,MATCH($B119,Jobs!$A$2:$A$501,0)),""))</f>
        <v/>
      </c>
      <c r="D119" s="17"/>
      <c r="E119" s="18"/>
      <c r="F119" s="16"/>
      <c r="G119" s="16"/>
      <c r="H119" s="19" t="str">
        <f>IF($B119="","",IFERROR(INDEX(Jobs!$I$2:$I$501,MATCH($B119,Jobs!$A$2:$A$501,0)),""))</f>
        <v/>
      </c>
      <c r="I119" s="19" t="str">
        <f>IF($B119="","",IFERROR(INDEX(Jobs!$K$2:$K$501,MATCH($B119,Jobs!$A$2:$A$501,0)),""))</f>
        <v/>
      </c>
      <c r="J119" s="16"/>
    </row>
    <row r="120" spans="1:10" x14ac:dyDescent="0.3">
      <c r="A120" s="15" t="str">
        <f t="shared" si="1"/>
        <v/>
      </c>
      <c r="B120" s="16"/>
      <c r="C120" s="15" t="str">
        <f>IF($B120="","",IFERROR(INDEX(Jobs!$B$2:$B$501,MATCH($B120,Jobs!$A$2:$A$501,0)),""))</f>
        <v/>
      </c>
      <c r="D120" s="17"/>
      <c r="E120" s="18"/>
      <c r="F120" s="16"/>
      <c r="G120" s="16"/>
      <c r="H120" s="19" t="str">
        <f>IF($B120="","",IFERROR(INDEX(Jobs!$I$2:$I$501,MATCH($B120,Jobs!$A$2:$A$501,0)),""))</f>
        <v/>
      </c>
      <c r="I120" s="19" t="str">
        <f>IF($B120="","",IFERROR(INDEX(Jobs!$K$2:$K$501,MATCH($B120,Jobs!$A$2:$A$501,0)),""))</f>
        <v/>
      </c>
      <c r="J120" s="16"/>
    </row>
    <row r="121" spans="1:10" x14ac:dyDescent="0.3">
      <c r="A121" s="15" t="str">
        <f t="shared" si="1"/>
        <v/>
      </c>
      <c r="B121" s="16"/>
      <c r="C121" s="15" t="str">
        <f>IF($B121="","",IFERROR(INDEX(Jobs!$B$2:$B$501,MATCH($B121,Jobs!$A$2:$A$501,0)),""))</f>
        <v/>
      </c>
      <c r="D121" s="17"/>
      <c r="E121" s="18"/>
      <c r="F121" s="16"/>
      <c r="G121" s="16"/>
      <c r="H121" s="19" t="str">
        <f>IF($B121="","",IFERROR(INDEX(Jobs!$I$2:$I$501,MATCH($B121,Jobs!$A$2:$A$501,0)),""))</f>
        <v/>
      </c>
      <c r="I121" s="19" t="str">
        <f>IF($B121="","",IFERROR(INDEX(Jobs!$K$2:$K$501,MATCH($B121,Jobs!$A$2:$A$501,0)),""))</f>
        <v/>
      </c>
      <c r="J121" s="16"/>
    </row>
    <row r="122" spans="1:10" x14ac:dyDescent="0.3">
      <c r="A122" s="15" t="str">
        <f t="shared" si="1"/>
        <v/>
      </c>
      <c r="B122" s="16"/>
      <c r="C122" s="15" t="str">
        <f>IF($B122="","",IFERROR(INDEX(Jobs!$B$2:$B$501,MATCH($B122,Jobs!$A$2:$A$501,0)),""))</f>
        <v/>
      </c>
      <c r="D122" s="17"/>
      <c r="E122" s="18"/>
      <c r="F122" s="16"/>
      <c r="G122" s="16"/>
      <c r="H122" s="19" t="str">
        <f>IF($B122="","",IFERROR(INDEX(Jobs!$I$2:$I$501,MATCH($B122,Jobs!$A$2:$A$501,0)),""))</f>
        <v/>
      </c>
      <c r="I122" s="19" t="str">
        <f>IF($B122="","",IFERROR(INDEX(Jobs!$K$2:$K$501,MATCH($B122,Jobs!$A$2:$A$501,0)),""))</f>
        <v/>
      </c>
      <c r="J122" s="16"/>
    </row>
    <row r="123" spans="1:10" x14ac:dyDescent="0.3">
      <c r="A123" s="15" t="str">
        <f t="shared" si="1"/>
        <v/>
      </c>
      <c r="B123" s="16"/>
      <c r="C123" s="15" t="str">
        <f>IF($B123="","",IFERROR(INDEX(Jobs!$B$2:$B$501,MATCH($B123,Jobs!$A$2:$A$501,0)),""))</f>
        <v/>
      </c>
      <c r="D123" s="17"/>
      <c r="E123" s="18"/>
      <c r="F123" s="16"/>
      <c r="G123" s="16"/>
      <c r="H123" s="19" t="str">
        <f>IF($B123="","",IFERROR(INDEX(Jobs!$I$2:$I$501,MATCH($B123,Jobs!$A$2:$A$501,0)),""))</f>
        <v/>
      </c>
      <c r="I123" s="19" t="str">
        <f>IF($B123="","",IFERROR(INDEX(Jobs!$K$2:$K$501,MATCH($B123,Jobs!$A$2:$A$501,0)),""))</f>
        <v/>
      </c>
      <c r="J123" s="16"/>
    </row>
    <row r="124" spans="1:10" x14ac:dyDescent="0.3">
      <c r="A124" s="15" t="str">
        <f t="shared" si="1"/>
        <v/>
      </c>
      <c r="B124" s="16"/>
      <c r="C124" s="15" t="str">
        <f>IF($B124="","",IFERROR(INDEX(Jobs!$B$2:$B$501,MATCH($B124,Jobs!$A$2:$A$501,0)),""))</f>
        <v/>
      </c>
      <c r="D124" s="17"/>
      <c r="E124" s="18"/>
      <c r="F124" s="16"/>
      <c r="G124" s="16"/>
      <c r="H124" s="19" t="str">
        <f>IF($B124="","",IFERROR(INDEX(Jobs!$I$2:$I$501,MATCH($B124,Jobs!$A$2:$A$501,0)),""))</f>
        <v/>
      </c>
      <c r="I124" s="19" t="str">
        <f>IF($B124="","",IFERROR(INDEX(Jobs!$K$2:$K$501,MATCH($B124,Jobs!$A$2:$A$501,0)),""))</f>
        <v/>
      </c>
      <c r="J124" s="16"/>
    </row>
    <row r="125" spans="1:10" x14ac:dyDescent="0.3">
      <c r="A125" s="15" t="str">
        <f t="shared" si="1"/>
        <v/>
      </c>
      <c r="B125" s="16"/>
      <c r="C125" s="15" t="str">
        <f>IF($B125="","",IFERROR(INDEX(Jobs!$B$2:$B$501,MATCH($B125,Jobs!$A$2:$A$501,0)),""))</f>
        <v/>
      </c>
      <c r="D125" s="17"/>
      <c r="E125" s="18"/>
      <c r="F125" s="16"/>
      <c r="G125" s="16"/>
      <c r="H125" s="19" t="str">
        <f>IF($B125="","",IFERROR(INDEX(Jobs!$I$2:$I$501,MATCH($B125,Jobs!$A$2:$A$501,0)),""))</f>
        <v/>
      </c>
      <c r="I125" s="19" t="str">
        <f>IF($B125="","",IFERROR(INDEX(Jobs!$K$2:$K$501,MATCH($B125,Jobs!$A$2:$A$501,0)),""))</f>
        <v/>
      </c>
      <c r="J125" s="16"/>
    </row>
    <row r="126" spans="1:10" x14ac:dyDescent="0.3">
      <c r="A126" s="15" t="str">
        <f t="shared" si="1"/>
        <v/>
      </c>
      <c r="B126" s="16"/>
      <c r="C126" s="15" t="str">
        <f>IF($B126="","",IFERROR(INDEX(Jobs!$B$2:$B$501,MATCH($B126,Jobs!$A$2:$A$501,0)),""))</f>
        <v/>
      </c>
      <c r="D126" s="17"/>
      <c r="E126" s="18"/>
      <c r="F126" s="16"/>
      <c r="G126" s="16"/>
      <c r="H126" s="19" t="str">
        <f>IF($B126="","",IFERROR(INDEX(Jobs!$I$2:$I$501,MATCH($B126,Jobs!$A$2:$A$501,0)),""))</f>
        <v/>
      </c>
      <c r="I126" s="19" t="str">
        <f>IF($B126="","",IFERROR(INDEX(Jobs!$K$2:$K$501,MATCH($B126,Jobs!$A$2:$A$501,0)),""))</f>
        <v/>
      </c>
      <c r="J126" s="16"/>
    </row>
    <row r="127" spans="1:10" x14ac:dyDescent="0.3">
      <c r="A127" s="15" t="str">
        <f t="shared" si="1"/>
        <v/>
      </c>
      <c r="B127" s="16"/>
      <c r="C127" s="15" t="str">
        <f>IF($B127="","",IFERROR(INDEX(Jobs!$B$2:$B$501,MATCH($B127,Jobs!$A$2:$A$501,0)),""))</f>
        <v/>
      </c>
      <c r="D127" s="17"/>
      <c r="E127" s="18"/>
      <c r="F127" s="16"/>
      <c r="G127" s="16"/>
      <c r="H127" s="19" t="str">
        <f>IF($B127="","",IFERROR(INDEX(Jobs!$I$2:$I$501,MATCH($B127,Jobs!$A$2:$A$501,0)),""))</f>
        <v/>
      </c>
      <c r="I127" s="19" t="str">
        <f>IF($B127="","",IFERROR(INDEX(Jobs!$K$2:$K$501,MATCH($B127,Jobs!$A$2:$A$501,0)),""))</f>
        <v/>
      </c>
      <c r="J127" s="16"/>
    </row>
    <row r="128" spans="1:10" x14ac:dyDescent="0.3">
      <c r="A128" s="15" t="str">
        <f t="shared" si="1"/>
        <v/>
      </c>
      <c r="B128" s="16"/>
      <c r="C128" s="15" t="str">
        <f>IF($B128="","",IFERROR(INDEX(Jobs!$B$2:$B$501,MATCH($B128,Jobs!$A$2:$A$501,0)),""))</f>
        <v/>
      </c>
      <c r="D128" s="17"/>
      <c r="E128" s="18"/>
      <c r="F128" s="16"/>
      <c r="G128" s="16"/>
      <c r="H128" s="19" t="str">
        <f>IF($B128="","",IFERROR(INDEX(Jobs!$I$2:$I$501,MATCH($B128,Jobs!$A$2:$A$501,0)),""))</f>
        <v/>
      </c>
      <c r="I128" s="19" t="str">
        <f>IF($B128="","",IFERROR(INDEX(Jobs!$K$2:$K$501,MATCH($B128,Jobs!$A$2:$A$501,0)),""))</f>
        <v/>
      </c>
      <c r="J128" s="16"/>
    </row>
    <row r="129" spans="1:10" x14ac:dyDescent="0.3">
      <c r="A129" s="15" t="str">
        <f t="shared" si="1"/>
        <v/>
      </c>
      <c r="B129" s="16"/>
      <c r="C129" s="15" t="str">
        <f>IF($B129="","",IFERROR(INDEX(Jobs!$B$2:$B$501,MATCH($B129,Jobs!$A$2:$A$501,0)),""))</f>
        <v/>
      </c>
      <c r="D129" s="17"/>
      <c r="E129" s="18"/>
      <c r="F129" s="16"/>
      <c r="G129" s="16"/>
      <c r="H129" s="19" t="str">
        <f>IF($B129="","",IFERROR(INDEX(Jobs!$I$2:$I$501,MATCH($B129,Jobs!$A$2:$A$501,0)),""))</f>
        <v/>
      </c>
      <c r="I129" s="19" t="str">
        <f>IF($B129="","",IFERROR(INDEX(Jobs!$K$2:$K$501,MATCH($B129,Jobs!$A$2:$A$501,0)),""))</f>
        <v/>
      </c>
      <c r="J129" s="16"/>
    </row>
    <row r="130" spans="1:10" x14ac:dyDescent="0.3">
      <c r="A130" s="15" t="str">
        <f t="shared" ref="A130:A193" si="2">IF(B130="","","PAY-"&amp;TEXT(ROW()-1,"0000"))</f>
        <v/>
      </c>
      <c r="B130" s="16"/>
      <c r="C130" s="15" t="str">
        <f>IF($B130="","",IFERROR(INDEX(Jobs!$B$2:$B$501,MATCH($B130,Jobs!$A$2:$A$501,0)),""))</f>
        <v/>
      </c>
      <c r="D130" s="17"/>
      <c r="E130" s="18"/>
      <c r="F130" s="16"/>
      <c r="G130" s="16"/>
      <c r="H130" s="19" t="str">
        <f>IF($B130="","",IFERROR(INDEX(Jobs!$I$2:$I$501,MATCH($B130,Jobs!$A$2:$A$501,0)),""))</f>
        <v/>
      </c>
      <c r="I130" s="19" t="str">
        <f>IF($B130="","",IFERROR(INDEX(Jobs!$K$2:$K$501,MATCH($B130,Jobs!$A$2:$A$501,0)),""))</f>
        <v/>
      </c>
      <c r="J130" s="16"/>
    </row>
    <row r="131" spans="1:10" x14ac:dyDescent="0.3">
      <c r="A131" s="15" t="str">
        <f t="shared" si="2"/>
        <v/>
      </c>
      <c r="B131" s="16"/>
      <c r="C131" s="15" t="str">
        <f>IF($B131="","",IFERROR(INDEX(Jobs!$B$2:$B$501,MATCH($B131,Jobs!$A$2:$A$501,0)),""))</f>
        <v/>
      </c>
      <c r="D131" s="17"/>
      <c r="E131" s="18"/>
      <c r="F131" s="16"/>
      <c r="G131" s="16"/>
      <c r="H131" s="19" t="str">
        <f>IF($B131="","",IFERROR(INDEX(Jobs!$I$2:$I$501,MATCH($B131,Jobs!$A$2:$A$501,0)),""))</f>
        <v/>
      </c>
      <c r="I131" s="19" t="str">
        <f>IF($B131="","",IFERROR(INDEX(Jobs!$K$2:$K$501,MATCH($B131,Jobs!$A$2:$A$501,0)),""))</f>
        <v/>
      </c>
      <c r="J131" s="16"/>
    </row>
    <row r="132" spans="1:10" x14ac:dyDescent="0.3">
      <c r="A132" s="15" t="str">
        <f t="shared" si="2"/>
        <v/>
      </c>
      <c r="B132" s="16"/>
      <c r="C132" s="15" t="str">
        <f>IF($B132="","",IFERROR(INDEX(Jobs!$B$2:$B$501,MATCH($B132,Jobs!$A$2:$A$501,0)),""))</f>
        <v/>
      </c>
      <c r="D132" s="17"/>
      <c r="E132" s="18"/>
      <c r="F132" s="16"/>
      <c r="G132" s="16"/>
      <c r="H132" s="19" t="str">
        <f>IF($B132="","",IFERROR(INDEX(Jobs!$I$2:$I$501,MATCH($B132,Jobs!$A$2:$A$501,0)),""))</f>
        <v/>
      </c>
      <c r="I132" s="19" t="str">
        <f>IF($B132="","",IFERROR(INDEX(Jobs!$K$2:$K$501,MATCH($B132,Jobs!$A$2:$A$501,0)),""))</f>
        <v/>
      </c>
      <c r="J132" s="16"/>
    </row>
    <row r="133" spans="1:10" x14ac:dyDescent="0.3">
      <c r="A133" s="15" t="str">
        <f t="shared" si="2"/>
        <v/>
      </c>
      <c r="B133" s="16"/>
      <c r="C133" s="15" t="str">
        <f>IF($B133="","",IFERROR(INDEX(Jobs!$B$2:$B$501,MATCH($B133,Jobs!$A$2:$A$501,0)),""))</f>
        <v/>
      </c>
      <c r="D133" s="17"/>
      <c r="E133" s="18"/>
      <c r="F133" s="16"/>
      <c r="G133" s="16"/>
      <c r="H133" s="19" t="str">
        <f>IF($B133="","",IFERROR(INDEX(Jobs!$I$2:$I$501,MATCH($B133,Jobs!$A$2:$A$501,0)),""))</f>
        <v/>
      </c>
      <c r="I133" s="19" t="str">
        <f>IF($B133="","",IFERROR(INDEX(Jobs!$K$2:$K$501,MATCH($B133,Jobs!$A$2:$A$501,0)),""))</f>
        <v/>
      </c>
      <c r="J133" s="16"/>
    </row>
    <row r="134" spans="1:10" x14ac:dyDescent="0.3">
      <c r="A134" s="15" t="str">
        <f t="shared" si="2"/>
        <v/>
      </c>
      <c r="B134" s="16"/>
      <c r="C134" s="15" t="str">
        <f>IF($B134="","",IFERROR(INDEX(Jobs!$B$2:$B$501,MATCH($B134,Jobs!$A$2:$A$501,0)),""))</f>
        <v/>
      </c>
      <c r="D134" s="17"/>
      <c r="E134" s="18"/>
      <c r="F134" s="16"/>
      <c r="G134" s="16"/>
      <c r="H134" s="19" t="str">
        <f>IF($B134="","",IFERROR(INDEX(Jobs!$I$2:$I$501,MATCH($B134,Jobs!$A$2:$A$501,0)),""))</f>
        <v/>
      </c>
      <c r="I134" s="19" t="str">
        <f>IF($B134="","",IFERROR(INDEX(Jobs!$K$2:$K$501,MATCH($B134,Jobs!$A$2:$A$501,0)),""))</f>
        <v/>
      </c>
      <c r="J134" s="16"/>
    </row>
    <row r="135" spans="1:10" x14ac:dyDescent="0.3">
      <c r="A135" s="15" t="str">
        <f t="shared" si="2"/>
        <v/>
      </c>
      <c r="B135" s="16"/>
      <c r="C135" s="15" t="str">
        <f>IF($B135="","",IFERROR(INDEX(Jobs!$B$2:$B$501,MATCH($B135,Jobs!$A$2:$A$501,0)),""))</f>
        <v/>
      </c>
      <c r="D135" s="17"/>
      <c r="E135" s="18"/>
      <c r="F135" s="16"/>
      <c r="G135" s="16"/>
      <c r="H135" s="19" t="str">
        <f>IF($B135="","",IFERROR(INDEX(Jobs!$I$2:$I$501,MATCH($B135,Jobs!$A$2:$A$501,0)),""))</f>
        <v/>
      </c>
      <c r="I135" s="19" t="str">
        <f>IF($B135="","",IFERROR(INDEX(Jobs!$K$2:$K$501,MATCH($B135,Jobs!$A$2:$A$501,0)),""))</f>
        <v/>
      </c>
      <c r="J135" s="16"/>
    </row>
    <row r="136" spans="1:10" x14ac:dyDescent="0.3">
      <c r="A136" s="15" t="str">
        <f t="shared" si="2"/>
        <v/>
      </c>
      <c r="B136" s="16"/>
      <c r="C136" s="15" t="str">
        <f>IF($B136="","",IFERROR(INDEX(Jobs!$B$2:$B$501,MATCH($B136,Jobs!$A$2:$A$501,0)),""))</f>
        <v/>
      </c>
      <c r="D136" s="17"/>
      <c r="E136" s="18"/>
      <c r="F136" s="16"/>
      <c r="G136" s="16"/>
      <c r="H136" s="19" t="str">
        <f>IF($B136="","",IFERROR(INDEX(Jobs!$I$2:$I$501,MATCH($B136,Jobs!$A$2:$A$501,0)),""))</f>
        <v/>
      </c>
      <c r="I136" s="19" t="str">
        <f>IF($B136="","",IFERROR(INDEX(Jobs!$K$2:$K$501,MATCH($B136,Jobs!$A$2:$A$501,0)),""))</f>
        <v/>
      </c>
      <c r="J136" s="16"/>
    </row>
    <row r="137" spans="1:10" x14ac:dyDescent="0.3">
      <c r="A137" s="15" t="str">
        <f t="shared" si="2"/>
        <v/>
      </c>
      <c r="B137" s="16"/>
      <c r="C137" s="15" t="str">
        <f>IF($B137="","",IFERROR(INDEX(Jobs!$B$2:$B$501,MATCH($B137,Jobs!$A$2:$A$501,0)),""))</f>
        <v/>
      </c>
      <c r="D137" s="17"/>
      <c r="E137" s="18"/>
      <c r="F137" s="16"/>
      <c r="G137" s="16"/>
      <c r="H137" s="19" t="str">
        <f>IF($B137="","",IFERROR(INDEX(Jobs!$I$2:$I$501,MATCH($B137,Jobs!$A$2:$A$501,0)),""))</f>
        <v/>
      </c>
      <c r="I137" s="19" t="str">
        <f>IF($B137="","",IFERROR(INDEX(Jobs!$K$2:$K$501,MATCH($B137,Jobs!$A$2:$A$501,0)),""))</f>
        <v/>
      </c>
      <c r="J137" s="16"/>
    </row>
    <row r="138" spans="1:10" x14ac:dyDescent="0.3">
      <c r="A138" s="15" t="str">
        <f t="shared" si="2"/>
        <v/>
      </c>
      <c r="B138" s="16"/>
      <c r="C138" s="15" t="str">
        <f>IF($B138="","",IFERROR(INDEX(Jobs!$B$2:$B$501,MATCH($B138,Jobs!$A$2:$A$501,0)),""))</f>
        <v/>
      </c>
      <c r="D138" s="17"/>
      <c r="E138" s="18"/>
      <c r="F138" s="16"/>
      <c r="G138" s="16"/>
      <c r="H138" s="19" t="str">
        <f>IF($B138="","",IFERROR(INDEX(Jobs!$I$2:$I$501,MATCH($B138,Jobs!$A$2:$A$501,0)),""))</f>
        <v/>
      </c>
      <c r="I138" s="19" t="str">
        <f>IF($B138="","",IFERROR(INDEX(Jobs!$K$2:$K$501,MATCH($B138,Jobs!$A$2:$A$501,0)),""))</f>
        <v/>
      </c>
      <c r="J138" s="16"/>
    </row>
    <row r="139" spans="1:10" x14ac:dyDescent="0.3">
      <c r="A139" s="15" t="str">
        <f t="shared" si="2"/>
        <v/>
      </c>
      <c r="B139" s="16"/>
      <c r="C139" s="15" t="str">
        <f>IF($B139="","",IFERROR(INDEX(Jobs!$B$2:$B$501,MATCH($B139,Jobs!$A$2:$A$501,0)),""))</f>
        <v/>
      </c>
      <c r="D139" s="17"/>
      <c r="E139" s="18"/>
      <c r="F139" s="16"/>
      <c r="G139" s="16"/>
      <c r="H139" s="19" t="str">
        <f>IF($B139="","",IFERROR(INDEX(Jobs!$I$2:$I$501,MATCH($B139,Jobs!$A$2:$A$501,0)),""))</f>
        <v/>
      </c>
      <c r="I139" s="19" t="str">
        <f>IF($B139="","",IFERROR(INDEX(Jobs!$K$2:$K$501,MATCH($B139,Jobs!$A$2:$A$501,0)),""))</f>
        <v/>
      </c>
      <c r="J139" s="16"/>
    </row>
    <row r="140" spans="1:10" x14ac:dyDescent="0.3">
      <c r="A140" s="15" t="str">
        <f t="shared" si="2"/>
        <v/>
      </c>
      <c r="B140" s="16"/>
      <c r="C140" s="15" t="str">
        <f>IF($B140="","",IFERROR(INDEX(Jobs!$B$2:$B$501,MATCH($B140,Jobs!$A$2:$A$501,0)),""))</f>
        <v/>
      </c>
      <c r="D140" s="17"/>
      <c r="E140" s="18"/>
      <c r="F140" s="16"/>
      <c r="G140" s="16"/>
      <c r="H140" s="19" t="str">
        <f>IF($B140="","",IFERROR(INDEX(Jobs!$I$2:$I$501,MATCH($B140,Jobs!$A$2:$A$501,0)),""))</f>
        <v/>
      </c>
      <c r="I140" s="19" t="str">
        <f>IF($B140="","",IFERROR(INDEX(Jobs!$K$2:$K$501,MATCH($B140,Jobs!$A$2:$A$501,0)),""))</f>
        <v/>
      </c>
      <c r="J140" s="16"/>
    </row>
    <row r="141" spans="1:10" x14ac:dyDescent="0.3">
      <c r="A141" s="15" t="str">
        <f t="shared" si="2"/>
        <v/>
      </c>
      <c r="B141" s="16"/>
      <c r="C141" s="15" t="str">
        <f>IF($B141="","",IFERROR(INDEX(Jobs!$B$2:$B$501,MATCH($B141,Jobs!$A$2:$A$501,0)),""))</f>
        <v/>
      </c>
      <c r="D141" s="17"/>
      <c r="E141" s="18"/>
      <c r="F141" s="16"/>
      <c r="G141" s="16"/>
      <c r="H141" s="19" t="str">
        <f>IF($B141="","",IFERROR(INDEX(Jobs!$I$2:$I$501,MATCH($B141,Jobs!$A$2:$A$501,0)),""))</f>
        <v/>
      </c>
      <c r="I141" s="19" t="str">
        <f>IF($B141="","",IFERROR(INDEX(Jobs!$K$2:$K$501,MATCH($B141,Jobs!$A$2:$A$501,0)),""))</f>
        <v/>
      </c>
      <c r="J141" s="16"/>
    </row>
    <row r="142" spans="1:10" x14ac:dyDescent="0.3">
      <c r="A142" s="15" t="str">
        <f t="shared" si="2"/>
        <v/>
      </c>
      <c r="B142" s="16"/>
      <c r="C142" s="15" t="str">
        <f>IF($B142="","",IFERROR(INDEX(Jobs!$B$2:$B$501,MATCH($B142,Jobs!$A$2:$A$501,0)),""))</f>
        <v/>
      </c>
      <c r="D142" s="17"/>
      <c r="E142" s="18"/>
      <c r="F142" s="16"/>
      <c r="G142" s="16"/>
      <c r="H142" s="19" t="str">
        <f>IF($B142="","",IFERROR(INDEX(Jobs!$I$2:$I$501,MATCH($B142,Jobs!$A$2:$A$501,0)),""))</f>
        <v/>
      </c>
      <c r="I142" s="19" t="str">
        <f>IF($B142="","",IFERROR(INDEX(Jobs!$K$2:$K$501,MATCH($B142,Jobs!$A$2:$A$501,0)),""))</f>
        <v/>
      </c>
      <c r="J142" s="16"/>
    </row>
    <row r="143" spans="1:10" x14ac:dyDescent="0.3">
      <c r="A143" s="15" t="str">
        <f t="shared" si="2"/>
        <v/>
      </c>
      <c r="B143" s="16"/>
      <c r="C143" s="15" t="str">
        <f>IF($B143="","",IFERROR(INDEX(Jobs!$B$2:$B$501,MATCH($B143,Jobs!$A$2:$A$501,0)),""))</f>
        <v/>
      </c>
      <c r="D143" s="17"/>
      <c r="E143" s="18"/>
      <c r="F143" s="16"/>
      <c r="G143" s="16"/>
      <c r="H143" s="19" t="str">
        <f>IF($B143="","",IFERROR(INDEX(Jobs!$I$2:$I$501,MATCH($B143,Jobs!$A$2:$A$501,0)),""))</f>
        <v/>
      </c>
      <c r="I143" s="19" t="str">
        <f>IF($B143="","",IFERROR(INDEX(Jobs!$K$2:$K$501,MATCH($B143,Jobs!$A$2:$A$501,0)),""))</f>
        <v/>
      </c>
      <c r="J143" s="16"/>
    </row>
    <row r="144" spans="1:10" x14ac:dyDescent="0.3">
      <c r="A144" s="15" t="str">
        <f t="shared" si="2"/>
        <v/>
      </c>
      <c r="B144" s="16"/>
      <c r="C144" s="15" t="str">
        <f>IF($B144="","",IFERROR(INDEX(Jobs!$B$2:$B$501,MATCH($B144,Jobs!$A$2:$A$501,0)),""))</f>
        <v/>
      </c>
      <c r="D144" s="17"/>
      <c r="E144" s="18"/>
      <c r="F144" s="16"/>
      <c r="G144" s="16"/>
      <c r="H144" s="19" t="str">
        <f>IF($B144="","",IFERROR(INDEX(Jobs!$I$2:$I$501,MATCH($B144,Jobs!$A$2:$A$501,0)),""))</f>
        <v/>
      </c>
      <c r="I144" s="19" t="str">
        <f>IF($B144="","",IFERROR(INDEX(Jobs!$K$2:$K$501,MATCH($B144,Jobs!$A$2:$A$501,0)),""))</f>
        <v/>
      </c>
      <c r="J144" s="16"/>
    </row>
    <row r="145" spans="1:10" x14ac:dyDescent="0.3">
      <c r="A145" s="15" t="str">
        <f t="shared" si="2"/>
        <v/>
      </c>
      <c r="B145" s="16"/>
      <c r="C145" s="15" t="str">
        <f>IF($B145="","",IFERROR(INDEX(Jobs!$B$2:$B$501,MATCH($B145,Jobs!$A$2:$A$501,0)),""))</f>
        <v/>
      </c>
      <c r="D145" s="17"/>
      <c r="E145" s="18"/>
      <c r="F145" s="16"/>
      <c r="G145" s="16"/>
      <c r="H145" s="19" t="str">
        <f>IF($B145="","",IFERROR(INDEX(Jobs!$I$2:$I$501,MATCH($B145,Jobs!$A$2:$A$501,0)),""))</f>
        <v/>
      </c>
      <c r="I145" s="19" t="str">
        <f>IF($B145="","",IFERROR(INDEX(Jobs!$K$2:$K$501,MATCH($B145,Jobs!$A$2:$A$501,0)),""))</f>
        <v/>
      </c>
      <c r="J145" s="16"/>
    </row>
    <row r="146" spans="1:10" x14ac:dyDescent="0.3">
      <c r="A146" s="15" t="str">
        <f t="shared" si="2"/>
        <v/>
      </c>
      <c r="B146" s="16"/>
      <c r="C146" s="15" t="str">
        <f>IF($B146="","",IFERROR(INDEX(Jobs!$B$2:$B$501,MATCH($B146,Jobs!$A$2:$A$501,0)),""))</f>
        <v/>
      </c>
      <c r="D146" s="17"/>
      <c r="E146" s="18"/>
      <c r="F146" s="16"/>
      <c r="G146" s="16"/>
      <c r="H146" s="19" t="str">
        <f>IF($B146="","",IFERROR(INDEX(Jobs!$I$2:$I$501,MATCH($B146,Jobs!$A$2:$A$501,0)),""))</f>
        <v/>
      </c>
      <c r="I146" s="19" t="str">
        <f>IF($B146="","",IFERROR(INDEX(Jobs!$K$2:$K$501,MATCH($B146,Jobs!$A$2:$A$501,0)),""))</f>
        <v/>
      </c>
      <c r="J146" s="16"/>
    </row>
    <row r="147" spans="1:10" x14ac:dyDescent="0.3">
      <c r="A147" s="15" t="str">
        <f t="shared" si="2"/>
        <v/>
      </c>
      <c r="B147" s="16"/>
      <c r="C147" s="15" t="str">
        <f>IF($B147="","",IFERROR(INDEX(Jobs!$B$2:$B$501,MATCH($B147,Jobs!$A$2:$A$501,0)),""))</f>
        <v/>
      </c>
      <c r="D147" s="17"/>
      <c r="E147" s="18"/>
      <c r="F147" s="16"/>
      <c r="G147" s="16"/>
      <c r="H147" s="19" t="str">
        <f>IF($B147="","",IFERROR(INDEX(Jobs!$I$2:$I$501,MATCH($B147,Jobs!$A$2:$A$501,0)),""))</f>
        <v/>
      </c>
      <c r="I147" s="19" t="str">
        <f>IF($B147="","",IFERROR(INDEX(Jobs!$K$2:$K$501,MATCH($B147,Jobs!$A$2:$A$501,0)),""))</f>
        <v/>
      </c>
      <c r="J147" s="16"/>
    </row>
    <row r="148" spans="1:10" x14ac:dyDescent="0.3">
      <c r="A148" s="15" t="str">
        <f t="shared" si="2"/>
        <v/>
      </c>
      <c r="B148" s="16"/>
      <c r="C148" s="15" t="str">
        <f>IF($B148="","",IFERROR(INDEX(Jobs!$B$2:$B$501,MATCH($B148,Jobs!$A$2:$A$501,0)),""))</f>
        <v/>
      </c>
      <c r="D148" s="17"/>
      <c r="E148" s="18"/>
      <c r="F148" s="16"/>
      <c r="G148" s="16"/>
      <c r="H148" s="19" t="str">
        <f>IF($B148="","",IFERROR(INDEX(Jobs!$I$2:$I$501,MATCH($B148,Jobs!$A$2:$A$501,0)),""))</f>
        <v/>
      </c>
      <c r="I148" s="19" t="str">
        <f>IF($B148="","",IFERROR(INDEX(Jobs!$K$2:$K$501,MATCH($B148,Jobs!$A$2:$A$501,0)),""))</f>
        <v/>
      </c>
      <c r="J148" s="16"/>
    </row>
    <row r="149" spans="1:10" x14ac:dyDescent="0.3">
      <c r="A149" s="15" t="str">
        <f t="shared" si="2"/>
        <v/>
      </c>
      <c r="B149" s="16"/>
      <c r="C149" s="15" t="str">
        <f>IF($B149="","",IFERROR(INDEX(Jobs!$B$2:$B$501,MATCH($B149,Jobs!$A$2:$A$501,0)),""))</f>
        <v/>
      </c>
      <c r="D149" s="17"/>
      <c r="E149" s="18"/>
      <c r="F149" s="16"/>
      <c r="G149" s="16"/>
      <c r="H149" s="19" t="str">
        <f>IF($B149="","",IFERROR(INDEX(Jobs!$I$2:$I$501,MATCH($B149,Jobs!$A$2:$A$501,0)),""))</f>
        <v/>
      </c>
      <c r="I149" s="19" t="str">
        <f>IF($B149="","",IFERROR(INDEX(Jobs!$K$2:$K$501,MATCH($B149,Jobs!$A$2:$A$501,0)),""))</f>
        <v/>
      </c>
      <c r="J149" s="16"/>
    </row>
    <row r="150" spans="1:10" x14ac:dyDescent="0.3">
      <c r="A150" s="15" t="str">
        <f t="shared" si="2"/>
        <v/>
      </c>
      <c r="B150" s="16"/>
      <c r="C150" s="15" t="str">
        <f>IF($B150="","",IFERROR(INDEX(Jobs!$B$2:$B$501,MATCH($B150,Jobs!$A$2:$A$501,0)),""))</f>
        <v/>
      </c>
      <c r="D150" s="17"/>
      <c r="E150" s="18"/>
      <c r="F150" s="16"/>
      <c r="G150" s="16"/>
      <c r="H150" s="19" t="str">
        <f>IF($B150="","",IFERROR(INDEX(Jobs!$I$2:$I$501,MATCH($B150,Jobs!$A$2:$A$501,0)),""))</f>
        <v/>
      </c>
      <c r="I150" s="19" t="str">
        <f>IF($B150="","",IFERROR(INDEX(Jobs!$K$2:$K$501,MATCH($B150,Jobs!$A$2:$A$501,0)),""))</f>
        <v/>
      </c>
      <c r="J150" s="16"/>
    </row>
    <row r="151" spans="1:10" x14ac:dyDescent="0.3">
      <c r="A151" s="15" t="str">
        <f t="shared" si="2"/>
        <v/>
      </c>
      <c r="B151" s="16"/>
      <c r="C151" s="15" t="str">
        <f>IF($B151="","",IFERROR(INDEX(Jobs!$B$2:$B$501,MATCH($B151,Jobs!$A$2:$A$501,0)),""))</f>
        <v/>
      </c>
      <c r="D151" s="17"/>
      <c r="E151" s="18"/>
      <c r="F151" s="16"/>
      <c r="G151" s="16"/>
      <c r="H151" s="19" t="str">
        <f>IF($B151="","",IFERROR(INDEX(Jobs!$I$2:$I$501,MATCH($B151,Jobs!$A$2:$A$501,0)),""))</f>
        <v/>
      </c>
      <c r="I151" s="19" t="str">
        <f>IF($B151="","",IFERROR(INDEX(Jobs!$K$2:$K$501,MATCH($B151,Jobs!$A$2:$A$501,0)),""))</f>
        <v/>
      </c>
      <c r="J151" s="16"/>
    </row>
    <row r="152" spans="1:10" x14ac:dyDescent="0.3">
      <c r="A152" s="15" t="str">
        <f t="shared" si="2"/>
        <v/>
      </c>
      <c r="B152" s="16"/>
      <c r="C152" s="15" t="str">
        <f>IF($B152="","",IFERROR(INDEX(Jobs!$B$2:$B$501,MATCH($B152,Jobs!$A$2:$A$501,0)),""))</f>
        <v/>
      </c>
      <c r="D152" s="17"/>
      <c r="E152" s="18"/>
      <c r="F152" s="16"/>
      <c r="G152" s="16"/>
      <c r="H152" s="19" t="str">
        <f>IF($B152="","",IFERROR(INDEX(Jobs!$I$2:$I$501,MATCH($B152,Jobs!$A$2:$A$501,0)),""))</f>
        <v/>
      </c>
      <c r="I152" s="19" t="str">
        <f>IF($B152="","",IFERROR(INDEX(Jobs!$K$2:$K$501,MATCH($B152,Jobs!$A$2:$A$501,0)),""))</f>
        <v/>
      </c>
      <c r="J152" s="16"/>
    </row>
    <row r="153" spans="1:10" x14ac:dyDescent="0.3">
      <c r="A153" s="15" t="str">
        <f t="shared" si="2"/>
        <v/>
      </c>
      <c r="B153" s="16"/>
      <c r="C153" s="15" t="str">
        <f>IF($B153="","",IFERROR(INDEX(Jobs!$B$2:$B$501,MATCH($B153,Jobs!$A$2:$A$501,0)),""))</f>
        <v/>
      </c>
      <c r="D153" s="17"/>
      <c r="E153" s="18"/>
      <c r="F153" s="16"/>
      <c r="G153" s="16"/>
      <c r="H153" s="19" t="str">
        <f>IF($B153="","",IFERROR(INDEX(Jobs!$I$2:$I$501,MATCH($B153,Jobs!$A$2:$A$501,0)),""))</f>
        <v/>
      </c>
      <c r="I153" s="19" t="str">
        <f>IF($B153="","",IFERROR(INDEX(Jobs!$K$2:$K$501,MATCH($B153,Jobs!$A$2:$A$501,0)),""))</f>
        <v/>
      </c>
      <c r="J153" s="16"/>
    </row>
    <row r="154" spans="1:10" x14ac:dyDescent="0.3">
      <c r="A154" s="15" t="str">
        <f t="shared" si="2"/>
        <v/>
      </c>
      <c r="B154" s="16"/>
      <c r="C154" s="15" t="str">
        <f>IF($B154="","",IFERROR(INDEX(Jobs!$B$2:$B$501,MATCH($B154,Jobs!$A$2:$A$501,0)),""))</f>
        <v/>
      </c>
      <c r="D154" s="17"/>
      <c r="E154" s="18"/>
      <c r="F154" s="16"/>
      <c r="G154" s="16"/>
      <c r="H154" s="19" t="str">
        <f>IF($B154="","",IFERROR(INDEX(Jobs!$I$2:$I$501,MATCH($B154,Jobs!$A$2:$A$501,0)),""))</f>
        <v/>
      </c>
      <c r="I154" s="19" t="str">
        <f>IF($B154="","",IFERROR(INDEX(Jobs!$K$2:$K$501,MATCH($B154,Jobs!$A$2:$A$501,0)),""))</f>
        <v/>
      </c>
      <c r="J154" s="16"/>
    </row>
    <row r="155" spans="1:10" x14ac:dyDescent="0.3">
      <c r="A155" s="15" t="str">
        <f t="shared" si="2"/>
        <v/>
      </c>
      <c r="B155" s="16"/>
      <c r="C155" s="15" t="str">
        <f>IF($B155="","",IFERROR(INDEX(Jobs!$B$2:$B$501,MATCH($B155,Jobs!$A$2:$A$501,0)),""))</f>
        <v/>
      </c>
      <c r="D155" s="17"/>
      <c r="E155" s="18"/>
      <c r="F155" s="16"/>
      <c r="G155" s="16"/>
      <c r="H155" s="19" t="str">
        <f>IF($B155="","",IFERROR(INDEX(Jobs!$I$2:$I$501,MATCH($B155,Jobs!$A$2:$A$501,0)),""))</f>
        <v/>
      </c>
      <c r="I155" s="19" t="str">
        <f>IF($B155="","",IFERROR(INDEX(Jobs!$K$2:$K$501,MATCH($B155,Jobs!$A$2:$A$501,0)),""))</f>
        <v/>
      </c>
      <c r="J155" s="16"/>
    </row>
    <row r="156" spans="1:10" x14ac:dyDescent="0.3">
      <c r="A156" s="15" t="str">
        <f t="shared" si="2"/>
        <v/>
      </c>
      <c r="B156" s="16"/>
      <c r="C156" s="15" t="str">
        <f>IF($B156="","",IFERROR(INDEX(Jobs!$B$2:$B$501,MATCH($B156,Jobs!$A$2:$A$501,0)),""))</f>
        <v/>
      </c>
      <c r="D156" s="17"/>
      <c r="E156" s="18"/>
      <c r="F156" s="16"/>
      <c r="G156" s="16"/>
      <c r="H156" s="19" t="str">
        <f>IF($B156="","",IFERROR(INDEX(Jobs!$I$2:$I$501,MATCH($B156,Jobs!$A$2:$A$501,0)),""))</f>
        <v/>
      </c>
      <c r="I156" s="19" t="str">
        <f>IF($B156="","",IFERROR(INDEX(Jobs!$K$2:$K$501,MATCH($B156,Jobs!$A$2:$A$501,0)),""))</f>
        <v/>
      </c>
      <c r="J156" s="16"/>
    </row>
    <row r="157" spans="1:10" x14ac:dyDescent="0.3">
      <c r="A157" s="15" t="str">
        <f t="shared" si="2"/>
        <v/>
      </c>
      <c r="B157" s="16"/>
      <c r="C157" s="15" t="str">
        <f>IF($B157="","",IFERROR(INDEX(Jobs!$B$2:$B$501,MATCH($B157,Jobs!$A$2:$A$501,0)),""))</f>
        <v/>
      </c>
      <c r="D157" s="17"/>
      <c r="E157" s="18"/>
      <c r="F157" s="16"/>
      <c r="G157" s="16"/>
      <c r="H157" s="19" t="str">
        <f>IF($B157="","",IFERROR(INDEX(Jobs!$I$2:$I$501,MATCH($B157,Jobs!$A$2:$A$501,0)),""))</f>
        <v/>
      </c>
      <c r="I157" s="19" t="str">
        <f>IF($B157="","",IFERROR(INDEX(Jobs!$K$2:$K$501,MATCH($B157,Jobs!$A$2:$A$501,0)),""))</f>
        <v/>
      </c>
      <c r="J157" s="16"/>
    </row>
    <row r="158" spans="1:10" x14ac:dyDescent="0.3">
      <c r="A158" s="15" t="str">
        <f t="shared" si="2"/>
        <v/>
      </c>
      <c r="B158" s="16"/>
      <c r="C158" s="15" t="str">
        <f>IF($B158="","",IFERROR(INDEX(Jobs!$B$2:$B$501,MATCH($B158,Jobs!$A$2:$A$501,0)),""))</f>
        <v/>
      </c>
      <c r="D158" s="17"/>
      <c r="E158" s="18"/>
      <c r="F158" s="16"/>
      <c r="G158" s="16"/>
      <c r="H158" s="19" t="str">
        <f>IF($B158="","",IFERROR(INDEX(Jobs!$I$2:$I$501,MATCH($B158,Jobs!$A$2:$A$501,0)),""))</f>
        <v/>
      </c>
      <c r="I158" s="19" t="str">
        <f>IF($B158="","",IFERROR(INDEX(Jobs!$K$2:$K$501,MATCH($B158,Jobs!$A$2:$A$501,0)),""))</f>
        <v/>
      </c>
      <c r="J158" s="16"/>
    </row>
    <row r="159" spans="1:10" x14ac:dyDescent="0.3">
      <c r="A159" s="15" t="str">
        <f t="shared" si="2"/>
        <v/>
      </c>
      <c r="B159" s="16"/>
      <c r="C159" s="15" t="str">
        <f>IF($B159="","",IFERROR(INDEX(Jobs!$B$2:$B$501,MATCH($B159,Jobs!$A$2:$A$501,0)),""))</f>
        <v/>
      </c>
      <c r="D159" s="17"/>
      <c r="E159" s="18"/>
      <c r="F159" s="16"/>
      <c r="G159" s="16"/>
      <c r="H159" s="19" t="str">
        <f>IF($B159="","",IFERROR(INDEX(Jobs!$I$2:$I$501,MATCH($B159,Jobs!$A$2:$A$501,0)),""))</f>
        <v/>
      </c>
      <c r="I159" s="19" t="str">
        <f>IF($B159="","",IFERROR(INDEX(Jobs!$K$2:$K$501,MATCH($B159,Jobs!$A$2:$A$501,0)),""))</f>
        <v/>
      </c>
      <c r="J159" s="16"/>
    </row>
    <row r="160" spans="1:10" x14ac:dyDescent="0.3">
      <c r="A160" s="15" t="str">
        <f t="shared" si="2"/>
        <v/>
      </c>
      <c r="B160" s="16"/>
      <c r="C160" s="15" t="str">
        <f>IF($B160="","",IFERROR(INDEX(Jobs!$B$2:$B$501,MATCH($B160,Jobs!$A$2:$A$501,0)),""))</f>
        <v/>
      </c>
      <c r="D160" s="17"/>
      <c r="E160" s="18"/>
      <c r="F160" s="16"/>
      <c r="G160" s="16"/>
      <c r="H160" s="19" t="str">
        <f>IF($B160="","",IFERROR(INDEX(Jobs!$I$2:$I$501,MATCH($B160,Jobs!$A$2:$A$501,0)),""))</f>
        <v/>
      </c>
      <c r="I160" s="19" t="str">
        <f>IF($B160="","",IFERROR(INDEX(Jobs!$K$2:$K$501,MATCH($B160,Jobs!$A$2:$A$501,0)),""))</f>
        <v/>
      </c>
      <c r="J160" s="16"/>
    </row>
    <row r="161" spans="1:10" x14ac:dyDescent="0.3">
      <c r="A161" s="15" t="str">
        <f t="shared" si="2"/>
        <v/>
      </c>
      <c r="B161" s="16"/>
      <c r="C161" s="15" t="str">
        <f>IF($B161="","",IFERROR(INDEX(Jobs!$B$2:$B$501,MATCH($B161,Jobs!$A$2:$A$501,0)),""))</f>
        <v/>
      </c>
      <c r="D161" s="17"/>
      <c r="E161" s="18"/>
      <c r="F161" s="16"/>
      <c r="G161" s="16"/>
      <c r="H161" s="19" t="str">
        <f>IF($B161="","",IFERROR(INDEX(Jobs!$I$2:$I$501,MATCH($B161,Jobs!$A$2:$A$501,0)),""))</f>
        <v/>
      </c>
      <c r="I161" s="19" t="str">
        <f>IF($B161="","",IFERROR(INDEX(Jobs!$K$2:$K$501,MATCH($B161,Jobs!$A$2:$A$501,0)),""))</f>
        <v/>
      </c>
      <c r="J161" s="16"/>
    </row>
    <row r="162" spans="1:10" x14ac:dyDescent="0.3">
      <c r="A162" s="15" t="str">
        <f t="shared" si="2"/>
        <v/>
      </c>
      <c r="B162" s="16"/>
      <c r="C162" s="15" t="str">
        <f>IF($B162="","",IFERROR(INDEX(Jobs!$B$2:$B$501,MATCH($B162,Jobs!$A$2:$A$501,0)),""))</f>
        <v/>
      </c>
      <c r="D162" s="17"/>
      <c r="E162" s="18"/>
      <c r="F162" s="16"/>
      <c r="G162" s="16"/>
      <c r="H162" s="19" t="str">
        <f>IF($B162="","",IFERROR(INDEX(Jobs!$I$2:$I$501,MATCH($B162,Jobs!$A$2:$A$501,0)),""))</f>
        <v/>
      </c>
      <c r="I162" s="19" t="str">
        <f>IF($B162="","",IFERROR(INDEX(Jobs!$K$2:$K$501,MATCH($B162,Jobs!$A$2:$A$501,0)),""))</f>
        <v/>
      </c>
      <c r="J162" s="16"/>
    </row>
    <row r="163" spans="1:10" x14ac:dyDescent="0.3">
      <c r="A163" s="15" t="str">
        <f t="shared" si="2"/>
        <v/>
      </c>
      <c r="B163" s="16"/>
      <c r="C163" s="15" t="str">
        <f>IF($B163="","",IFERROR(INDEX(Jobs!$B$2:$B$501,MATCH($B163,Jobs!$A$2:$A$501,0)),""))</f>
        <v/>
      </c>
      <c r="D163" s="17"/>
      <c r="E163" s="18"/>
      <c r="F163" s="16"/>
      <c r="G163" s="16"/>
      <c r="H163" s="19" t="str">
        <f>IF($B163="","",IFERROR(INDEX(Jobs!$I$2:$I$501,MATCH($B163,Jobs!$A$2:$A$501,0)),""))</f>
        <v/>
      </c>
      <c r="I163" s="19" t="str">
        <f>IF($B163="","",IFERROR(INDEX(Jobs!$K$2:$K$501,MATCH($B163,Jobs!$A$2:$A$501,0)),""))</f>
        <v/>
      </c>
      <c r="J163" s="16"/>
    </row>
    <row r="164" spans="1:10" x14ac:dyDescent="0.3">
      <c r="A164" s="15" t="str">
        <f t="shared" si="2"/>
        <v/>
      </c>
      <c r="B164" s="16"/>
      <c r="C164" s="15" t="str">
        <f>IF($B164="","",IFERROR(INDEX(Jobs!$B$2:$B$501,MATCH($B164,Jobs!$A$2:$A$501,0)),""))</f>
        <v/>
      </c>
      <c r="D164" s="17"/>
      <c r="E164" s="18"/>
      <c r="F164" s="16"/>
      <c r="G164" s="16"/>
      <c r="H164" s="19" t="str">
        <f>IF($B164="","",IFERROR(INDEX(Jobs!$I$2:$I$501,MATCH($B164,Jobs!$A$2:$A$501,0)),""))</f>
        <v/>
      </c>
      <c r="I164" s="19" t="str">
        <f>IF($B164="","",IFERROR(INDEX(Jobs!$K$2:$K$501,MATCH($B164,Jobs!$A$2:$A$501,0)),""))</f>
        <v/>
      </c>
      <c r="J164" s="16"/>
    </row>
    <row r="165" spans="1:10" x14ac:dyDescent="0.3">
      <c r="A165" s="15" t="str">
        <f t="shared" si="2"/>
        <v/>
      </c>
      <c r="B165" s="16"/>
      <c r="C165" s="15" t="str">
        <f>IF($B165="","",IFERROR(INDEX(Jobs!$B$2:$B$501,MATCH($B165,Jobs!$A$2:$A$501,0)),""))</f>
        <v/>
      </c>
      <c r="D165" s="17"/>
      <c r="E165" s="18"/>
      <c r="F165" s="16"/>
      <c r="G165" s="16"/>
      <c r="H165" s="19" t="str">
        <f>IF($B165="","",IFERROR(INDEX(Jobs!$I$2:$I$501,MATCH($B165,Jobs!$A$2:$A$501,0)),""))</f>
        <v/>
      </c>
      <c r="I165" s="19" t="str">
        <f>IF($B165="","",IFERROR(INDEX(Jobs!$K$2:$K$501,MATCH($B165,Jobs!$A$2:$A$501,0)),""))</f>
        <v/>
      </c>
      <c r="J165" s="16"/>
    </row>
    <row r="166" spans="1:10" x14ac:dyDescent="0.3">
      <c r="A166" s="15" t="str">
        <f t="shared" si="2"/>
        <v/>
      </c>
      <c r="B166" s="16"/>
      <c r="C166" s="15" t="str">
        <f>IF($B166="","",IFERROR(INDEX(Jobs!$B$2:$B$501,MATCH($B166,Jobs!$A$2:$A$501,0)),""))</f>
        <v/>
      </c>
      <c r="D166" s="17"/>
      <c r="E166" s="18"/>
      <c r="F166" s="16"/>
      <c r="G166" s="16"/>
      <c r="H166" s="19" t="str">
        <f>IF($B166="","",IFERROR(INDEX(Jobs!$I$2:$I$501,MATCH($B166,Jobs!$A$2:$A$501,0)),""))</f>
        <v/>
      </c>
      <c r="I166" s="19" t="str">
        <f>IF($B166="","",IFERROR(INDEX(Jobs!$K$2:$K$501,MATCH($B166,Jobs!$A$2:$A$501,0)),""))</f>
        <v/>
      </c>
      <c r="J166" s="16"/>
    </row>
    <row r="167" spans="1:10" x14ac:dyDescent="0.3">
      <c r="A167" s="15" t="str">
        <f t="shared" si="2"/>
        <v/>
      </c>
      <c r="B167" s="16"/>
      <c r="C167" s="15" t="str">
        <f>IF($B167="","",IFERROR(INDEX(Jobs!$B$2:$B$501,MATCH($B167,Jobs!$A$2:$A$501,0)),""))</f>
        <v/>
      </c>
      <c r="D167" s="17"/>
      <c r="E167" s="18"/>
      <c r="F167" s="16"/>
      <c r="G167" s="16"/>
      <c r="H167" s="19" t="str">
        <f>IF($B167="","",IFERROR(INDEX(Jobs!$I$2:$I$501,MATCH($B167,Jobs!$A$2:$A$501,0)),""))</f>
        <v/>
      </c>
      <c r="I167" s="19" t="str">
        <f>IF($B167="","",IFERROR(INDEX(Jobs!$K$2:$K$501,MATCH($B167,Jobs!$A$2:$A$501,0)),""))</f>
        <v/>
      </c>
      <c r="J167" s="16"/>
    </row>
    <row r="168" spans="1:10" x14ac:dyDescent="0.3">
      <c r="A168" s="15" t="str">
        <f t="shared" si="2"/>
        <v/>
      </c>
      <c r="B168" s="16"/>
      <c r="C168" s="15" t="str">
        <f>IF($B168="","",IFERROR(INDEX(Jobs!$B$2:$B$501,MATCH($B168,Jobs!$A$2:$A$501,0)),""))</f>
        <v/>
      </c>
      <c r="D168" s="17"/>
      <c r="E168" s="18"/>
      <c r="F168" s="16"/>
      <c r="G168" s="16"/>
      <c r="H168" s="19" t="str">
        <f>IF($B168="","",IFERROR(INDEX(Jobs!$I$2:$I$501,MATCH($B168,Jobs!$A$2:$A$501,0)),""))</f>
        <v/>
      </c>
      <c r="I168" s="19" t="str">
        <f>IF($B168="","",IFERROR(INDEX(Jobs!$K$2:$K$501,MATCH($B168,Jobs!$A$2:$A$501,0)),""))</f>
        <v/>
      </c>
      <c r="J168" s="16"/>
    </row>
    <row r="169" spans="1:10" x14ac:dyDescent="0.3">
      <c r="A169" s="15" t="str">
        <f t="shared" si="2"/>
        <v/>
      </c>
      <c r="B169" s="16"/>
      <c r="C169" s="15" t="str">
        <f>IF($B169="","",IFERROR(INDEX(Jobs!$B$2:$B$501,MATCH($B169,Jobs!$A$2:$A$501,0)),""))</f>
        <v/>
      </c>
      <c r="D169" s="17"/>
      <c r="E169" s="18"/>
      <c r="F169" s="16"/>
      <c r="G169" s="16"/>
      <c r="H169" s="19" t="str">
        <f>IF($B169="","",IFERROR(INDEX(Jobs!$I$2:$I$501,MATCH($B169,Jobs!$A$2:$A$501,0)),""))</f>
        <v/>
      </c>
      <c r="I169" s="19" t="str">
        <f>IF($B169="","",IFERROR(INDEX(Jobs!$K$2:$K$501,MATCH($B169,Jobs!$A$2:$A$501,0)),""))</f>
        <v/>
      </c>
      <c r="J169" s="16"/>
    </row>
    <row r="170" spans="1:10" x14ac:dyDescent="0.3">
      <c r="A170" s="15" t="str">
        <f t="shared" si="2"/>
        <v/>
      </c>
      <c r="B170" s="16"/>
      <c r="C170" s="15" t="str">
        <f>IF($B170="","",IFERROR(INDEX(Jobs!$B$2:$B$501,MATCH($B170,Jobs!$A$2:$A$501,0)),""))</f>
        <v/>
      </c>
      <c r="D170" s="17"/>
      <c r="E170" s="18"/>
      <c r="F170" s="16"/>
      <c r="G170" s="16"/>
      <c r="H170" s="19" t="str">
        <f>IF($B170="","",IFERROR(INDEX(Jobs!$I$2:$I$501,MATCH($B170,Jobs!$A$2:$A$501,0)),""))</f>
        <v/>
      </c>
      <c r="I170" s="19" t="str">
        <f>IF($B170="","",IFERROR(INDEX(Jobs!$K$2:$K$501,MATCH($B170,Jobs!$A$2:$A$501,0)),""))</f>
        <v/>
      </c>
      <c r="J170" s="16"/>
    </row>
    <row r="171" spans="1:10" x14ac:dyDescent="0.3">
      <c r="A171" s="15" t="str">
        <f t="shared" si="2"/>
        <v/>
      </c>
      <c r="B171" s="16"/>
      <c r="C171" s="15" t="str">
        <f>IF($B171="","",IFERROR(INDEX(Jobs!$B$2:$B$501,MATCH($B171,Jobs!$A$2:$A$501,0)),""))</f>
        <v/>
      </c>
      <c r="D171" s="17"/>
      <c r="E171" s="18"/>
      <c r="F171" s="16"/>
      <c r="G171" s="16"/>
      <c r="H171" s="19" t="str">
        <f>IF($B171="","",IFERROR(INDEX(Jobs!$I$2:$I$501,MATCH($B171,Jobs!$A$2:$A$501,0)),""))</f>
        <v/>
      </c>
      <c r="I171" s="19" t="str">
        <f>IF($B171="","",IFERROR(INDEX(Jobs!$K$2:$K$501,MATCH($B171,Jobs!$A$2:$A$501,0)),""))</f>
        <v/>
      </c>
      <c r="J171" s="16"/>
    </row>
    <row r="172" spans="1:10" x14ac:dyDescent="0.3">
      <c r="A172" s="15" t="str">
        <f t="shared" si="2"/>
        <v/>
      </c>
      <c r="B172" s="16"/>
      <c r="C172" s="15" t="str">
        <f>IF($B172="","",IFERROR(INDEX(Jobs!$B$2:$B$501,MATCH($B172,Jobs!$A$2:$A$501,0)),""))</f>
        <v/>
      </c>
      <c r="D172" s="17"/>
      <c r="E172" s="18"/>
      <c r="F172" s="16"/>
      <c r="G172" s="16"/>
      <c r="H172" s="19" t="str">
        <f>IF($B172="","",IFERROR(INDEX(Jobs!$I$2:$I$501,MATCH($B172,Jobs!$A$2:$A$501,0)),""))</f>
        <v/>
      </c>
      <c r="I172" s="19" t="str">
        <f>IF($B172="","",IFERROR(INDEX(Jobs!$K$2:$K$501,MATCH($B172,Jobs!$A$2:$A$501,0)),""))</f>
        <v/>
      </c>
      <c r="J172" s="16"/>
    </row>
    <row r="173" spans="1:10" x14ac:dyDescent="0.3">
      <c r="A173" s="15" t="str">
        <f t="shared" si="2"/>
        <v/>
      </c>
      <c r="B173" s="16"/>
      <c r="C173" s="15" t="str">
        <f>IF($B173="","",IFERROR(INDEX(Jobs!$B$2:$B$501,MATCH($B173,Jobs!$A$2:$A$501,0)),""))</f>
        <v/>
      </c>
      <c r="D173" s="17"/>
      <c r="E173" s="18"/>
      <c r="F173" s="16"/>
      <c r="G173" s="16"/>
      <c r="H173" s="19" t="str">
        <f>IF($B173="","",IFERROR(INDEX(Jobs!$I$2:$I$501,MATCH($B173,Jobs!$A$2:$A$501,0)),""))</f>
        <v/>
      </c>
      <c r="I173" s="19" t="str">
        <f>IF($B173="","",IFERROR(INDEX(Jobs!$K$2:$K$501,MATCH($B173,Jobs!$A$2:$A$501,0)),""))</f>
        <v/>
      </c>
      <c r="J173" s="16"/>
    </row>
    <row r="174" spans="1:10" x14ac:dyDescent="0.3">
      <c r="A174" s="15" t="str">
        <f t="shared" si="2"/>
        <v/>
      </c>
      <c r="B174" s="16"/>
      <c r="C174" s="15" t="str">
        <f>IF($B174="","",IFERROR(INDEX(Jobs!$B$2:$B$501,MATCH($B174,Jobs!$A$2:$A$501,0)),""))</f>
        <v/>
      </c>
      <c r="D174" s="17"/>
      <c r="E174" s="18"/>
      <c r="F174" s="16"/>
      <c r="G174" s="16"/>
      <c r="H174" s="19" t="str">
        <f>IF($B174="","",IFERROR(INDEX(Jobs!$I$2:$I$501,MATCH($B174,Jobs!$A$2:$A$501,0)),""))</f>
        <v/>
      </c>
      <c r="I174" s="19" t="str">
        <f>IF($B174="","",IFERROR(INDEX(Jobs!$K$2:$K$501,MATCH($B174,Jobs!$A$2:$A$501,0)),""))</f>
        <v/>
      </c>
      <c r="J174" s="16"/>
    </row>
    <row r="175" spans="1:10" x14ac:dyDescent="0.3">
      <c r="A175" s="15" t="str">
        <f t="shared" si="2"/>
        <v/>
      </c>
      <c r="B175" s="16"/>
      <c r="C175" s="15" t="str">
        <f>IF($B175="","",IFERROR(INDEX(Jobs!$B$2:$B$501,MATCH($B175,Jobs!$A$2:$A$501,0)),""))</f>
        <v/>
      </c>
      <c r="D175" s="17"/>
      <c r="E175" s="18"/>
      <c r="F175" s="16"/>
      <c r="G175" s="16"/>
      <c r="H175" s="19" t="str">
        <f>IF($B175="","",IFERROR(INDEX(Jobs!$I$2:$I$501,MATCH($B175,Jobs!$A$2:$A$501,0)),""))</f>
        <v/>
      </c>
      <c r="I175" s="19" t="str">
        <f>IF($B175="","",IFERROR(INDEX(Jobs!$K$2:$K$501,MATCH($B175,Jobs!$A$2:$A$501,0)),""))</f>
        <v/>
      </c>
      <c r="J175" s="16"/>
    </row>
    <row r="176" spans="1:10" x14ac:dyDescent="0.3">
      <c r="A176" s="15" t="str">
        <f t="shared" si="2"/>
        <v/>
      </c>
      <c r="B176" s="16"/>
      <c r="C176" s="15" t="str">
        <f>IF($B176="","",IFERROR(INDEX(Jobs!$B$2:$B$501,MATCH($B176,Jobs!$A$2:$A$501,0)),""))</f>
        <v/>
      </c>
      <c r="D176" s="17"/>
      <c r="E176" s="18"/>
      <c r="F176" s="16"/>
      <c r="G176" s="16"/>
      <c r="H176" s="19" t="str">
        <f>IF($B176="","",IFERROR(INDEX(Jobs!$I$2:$I$501,MATCH($B176,Jobs!$A$2:$A$501,0)),""))</f>
        <v/>
      </c>
      <c r="I176" s="19" t="str">
        <f>IF($B176="","",IFERROR(INDEX(Jobs!$K$2:$K$501,MATCH($B176,Jobs!$A$2:$A$501,0)),""))</f>
        <v/>
      </c>
      <c r="J176" s="16"/>
    </row>
    <row r="177" spans="1:10" x14ac:dyDescent="0.3">
      <c r="A177" s="15" t="str">
        <f t="shared" si="2"/>
        <v/>
      </c>
      <c r="B177" s="16"/>
      <c r="C177" s="15" t="str">
        <f>IF($B177="","",IFERROR(INDEX(Jobs!$B$2:$B$501,MATCH($B177,Jobs!$A$2:$A$501,0)),""))</f>
        <v/>
      </c>
      <c r="D177" s="17"/>
      <c r="E177" s="18"/>
      <c r="F177" s="16"/>
      <c r="G177" s="16"/>
      <c r="H177" s="19" t="str">
        <f>IF($B177="","",IFERROR(INDEX(Jobs!$I$2:$I$501,MATCH($B177,Jobs!$A$2:$A$501,0)),""))</f>
        <v/>
      </c>
      <c r="I177" s="19" t="str">
        <f>IF($B177="","",IFERROR(INDEX(Jobs!$K$2:$K$501,MATCH($B177,Jobs!$A$2:$A$501,0)),""))</f>
        <v/>
      </c>
      <c r="J177" s="16"/>
    </row>
    <row r="178" spans="1:10" x14ac:dyDescent="0.3">
      <c r="A178" s="15" t="str">
        <f t="shared" si="2"/>
        <v/>
      </c>
      <c r="B178" s="16"/>
      <c r="C178" s="15" t="str">
        <f>IF($B178="","",IFERROR(INDEX(Jobs!$B$2:$B$501,MATCH($B178,Jobs!$A$2:$A$501,0)),""))</f>
        <v/>
      </c>
      <c r="D178" s="17"/>
      <c r="E178" s="18"/>
      <c r="F178" s="16"/>
      <c r="G178" s="16"/>
      <c r="H178" s="19" t="str">
        <f>IF($B178="","",IFERROR(INDEX(Jobs!$I$2:$I$501,MATCH($B178,Jobs!$A$2:$A$501,0)),""))</f>
        <v/>
      </c>
      <c r="I178" s="19" t="str">
        <f>IF($B178="","",IFERROR(INDEX(Jobs!$K$2:$K$501,MATCH($B178,Jobs!$A$2:$A$501,0)),""))</f>
        <v/>
      </c>
      <c r="J178" s="16"/>
    </row>
    <row r="179" spans="1:10" x14ac:dyDescent="0.3">
      <c r="A179" s="15" t="str">
        <f t="shared" si="2"/>
        <v/>
      </c>
      <c r="B179" s="16"/>
      <c r="C179" s="15" t="str">
        <f>IF($B179="","",IFERROR(INDEX(Jobs!$B$2:$B$501,MATCH($B179,Jobs!$A$2:$A$501,0)),""))</f>
        <v/>
      </c>
      <c r="D179" s="17"/>
      <c r="E179" s="18"/>
      <c r="F179" s="16"/>
      <c r="G179" s="16"/>
      <c r="H179" s="19" t="str">
        <f>IF($B179="","",IFERROR(INDEX(Jobs!$I$2:$I$501,MATCH($B179,Jobs!$A$2:$A$501,0)),""))</f>
        <v/>
      </c>
      <c r="I179" s="19" t="str">
        <f>IF($B179="","",IFERROR(INDEX(Jobs!$K$2:$K$501,MATCH($B179,Jobs!$A$2:$A$501,0)),""))</f>
        <v/>
      </c>
      <c r="J179" s="16"/>
    </row>
    <row r="180" spans="1:10" x14ac:dyDescent="0.3">
      <c r="A180" s="15" t="str">
        <f t="shared" si="2"/>
        <v/>
      </c>
      <c r="B180" s="16"/>
      <c r="C180" s="15" t="str">
        <f>IF($B180="","",IFERROR(INDEX(Jobs!$B$2:$B$501,MATCH($B180,Jobs!$A$2:$A$501,0)),""))</f>
        <v/>
      </c>
      <c r="D180" s="17"/>
      <c r="E180" s="18"/>
      <c r="F180" s="16"/>
      <c r="G180" s="16"/>
      <c r="H180" s="19" t="str">
        <f>IF($B180="","",IFERROR(INDEX(Jobs!$I$2:$I$501,MATCH($B180,Jobs!$A$2:$A$501,0)),""))</f>
        <v/>
      </c>
      <c r="I180" s="19" t="str">
        <f>IF($B180="","",IFERROR(INDEX(Jobs!$K$2:$K$501,MATCH($B180,Jobs!$A$2:$A$501,0)),""))</f>
        <v/>
      </c>
      <c r="J180" s="16"/>
    </row>
    <row r="181" spans="1:10" x14ac:dyDescent="0.3">
      <c r="A181" s="15" t="str">
        <f t="shared" si="2"/>
        <v/>
      </c>
      <c r="B181" s="16"/>
      <c r="C181" s="15" t="str">
        <f>IF($B181="","",IFERROR(INDEX(Jobs!$B$2:$B$501,MATCH($B181,Jobs!$A$2:$A$501,0)),""))</f>
        <v/>
      </c>
      <c r="D181" s="17"/>
      <c r="E181" s="18"/>
      <c r="F181" s="16"/>
      <c r="G181" s="16"/>
      <c r="H181" s="19" t="str">
        <f>IF($B181="","",IFERROR(INDEX(Jobs!$I$2:$I$501,MATCH($B181,Jobs!$A$2:$A$501,0)),""))</f>
        <v/>
      </c>
      <c r="I181" s="19" t="str">
        <f>IF($B181="","",IFERROR(INDEX(Jobs!$K$2:$K$501,MATCH($B181,Jobs!$A$2:$A$501,0)),""))</f>
        <v/>
      </c>
      <c r="J181" s="16"/>
    </row>
    <row r="182" spans="1:10" x14ac:dyDescent="0.3">
      <c r="A182" s="15" t="str">
        <f t="shared" si="2"/>
        <v/>
      </c>
      <c r="B182" s="16"/>
      <c r="C182" s="15" t="str">
        <f>IF($B182="","",IFERROR(INDEX(Jobs!$B$2:$B$501,MATCH($B182,Jobs!$A$2:$A$501,0)),""))</f>
        <v/>
      </c>
      <c r="D182" s="17"/>
      <c r="E182" s="18"/>
      <c r="F182" s="16"/>
      <c r="G182" s="16"/>
      <c r="H182" s="19" t="str">
        <f>IF($B182="","",IFERROR(INDEX(Jobs!$I$2:$I$501,MATCH($B182,Jobs!$A$2:$A$501,0)),""))</f>
        <v/>
      </c>
      <c r="I182" s="19" t="str">
        <f>IF($B182="","",IFERROR(INDEX(Jobs!$K$2:$K$501,MATCH($B182,Jobs!$A$2:$A$501,0)),""))</f>
        <v/>
      </c>
      <c r="J182" s="16"/>
    </row>
    <row r="183" spans="1:10" x14ac:dyDescent="0.3">
      <c r="A183" s="15" t="str">
        <f t="shared" si="2"/>
        <v/>
      </c>
      <c r="B183" s="16"/>
      <c r="C183" s="15" t="str">
        <f>IF($B183="","",IFERROR(INDEX(Jobs!$B$2:$B$501,MATCH($B183,Jobs!$A$2:$A$501,0)),""))</f>
        <v/>
      </c>
      <c r="D183" s="17"/>
      <c r="E183" s="18"/>
      <c r="F183" s="16"/>
      <c r="G183" s="16"/>
      <c r="H183" s="19" t="str">
        <f>IF($B183="","",IFERROR(INDEX(Jobs!$I$2:$I$501,MATCH($B183,Jobs!$A$2:$A$501,0)),""))</f>
        <v/>
      </c>
      <c r="I183" s="19" t="str">
        <f>IF($B183="","",IFERROR(INDEX(Jobs!$K$2:$K$501,MATCH($B183,Jobs!$A$2:$A$501,0)),""))</f>
        <v/>
      </c>
      <c r="J183" s="16"/>
    </row>
    <row r="184" spans="1:10" x14ac:dyDescent="0.3">
      <c r="A184" s="15" t="str">
        <f t="shared" si="2"/>
        <v/>
      </c>
      <c r="B184" s="16"/>
      <c r="C184" s="15" t="str">
        <f>IF($B184="","",IFERROR(INDEX(Jobs!$B$2:$B$501,MATCH($B184,Jobs!$A$2:$A$501,0)),""))</f>
        <v/>
      </c>
      <c r="D184" s="17"/>
      <c r="E184" s="18"/>
      <c r="F184" s="16"/>
      <c r="G184" s="16"/>
      <c r="H184" s="19" t="str">
        <f>IF($B184="","",IFERROR(INDEX(Jobs!$I$2:$I$501,MATCH($B184,Jobs!$A$2:$A$501,0)),""))</f>
        <v/>
      </c>
      <c r="I184" s="19" t="str">
        <f>IF($B184="","",IFERROR(INDEX(Jobs!$K$2:$K$501,MATCH($B184,Jobs!$A$2:$A$501,0)),""))</f>
        <v/>
      </c>
      <c r="J184" s="16"/>
    </row>
    <row r="185" spans="1:10" x14ac:dyDescent="0.3">
      <c r="A185" s="15" t="str">
        <f t="shared" si="2"/>
        <v/>
      </c>
      <c r="B185" s="16"/>
      <c r="C185" s="15" t="str">
        <f>IF($B185="","",IFERROR(INDEX(Jobs!$B$2:$B$501,MATCH($B185,Jobs!$A$2:$A$501,0)),""))</f>
        <v/>
      </c>
      <c r="D185" s="17"/>
      <c r="E185" s="18"/>
      <c r="F185" s="16"/>
      <c r="G185" s="16"/>
      <c r="H185" s="19" t="str">
        <f>IF($B185="","",IFERROR(INDEX(Jobs!$I$2:$I$501,MATCH($B185,Jobs!$A$2:$A$501,0)),""))</f>
        <v/>
      </c>
      <c r="I185" s="19" t="str">
        <f>IF($B185="","",IFERROR(INDEX(Jobs!$K$2:$K$501,MATCH($B185,Jobs!$A$2:$A$501,0)),""))</f>
        <v/>
      </c>
      <c r="J185" s="16"/>
    </row>
    <row r="186" spans="1:10" x14ac:dyDescent="0.3">
      <c r="A186" s="15" t="str">
        <f t="shared" si="2"/>
        <v/>
      </c>
      <c r="B186" s="16"/>
      <c r="C186" s="15" t="str">
        <f>IF($B186="","",IFERROR(INDEX(Jobs!$B$2:$B$501,MATCH($B186,Jobs!$A$2:$A$501,0)),""))</f>
        <v/>
      </c>
      <c r="D186" s="17"/>
      <c r="E186" s="18"/>
      <c r="F186" s="16"/>
      <c r="G186" s="16"/>
      <c r="H186" s="19" t="str">
        <f>IF($B186="","",IFERROR(INDEX(Jobs!$I$2:$I$501,MATCH($B186,Jobs!$A$2:$A$501,0)),""))</f>
        <v/>
      </c>
      <c r="I186" s="19" t="str">
        <f>IF($B186="","",IFERROR(INDEX(Jobs!$K$2:$K$501,MATCH($B186,Jobs!$A$2:$A$501,0)),""))</f>
        <v/>
      </c>
      <c r="J186" s="16"/>
    </row>
    <row r="187" spans="1:10" x14ac:dyDescent="0.3">
      <c r="A187" s="15" t="str">
        <f t="shared" si="2"/>
        <v/>
      </c>
      <c r="B187" s="16"/>
      <c r="C187" s="15" t="str">
        <f>IF($B187="","",IFERROR(INDEX(Jobs!$B$2:$B$501,MATCH($B187,Jobs!$A$2:$A$501,0)),""))</f>
        <v/>
      </c>
      <c r="D187" s="17"/>
      <c r="E187" s="18"/>
      <c r="F187" s="16"/>
      <c r="G187" s="16"/>
      <c r="H187" s="19" t="str">
        <f>IF($B187="","",IFERROR(INDEX(Jobs!$I$2:$I$501,MATCH($B187,Jobs!$A$2:$A$501,0)),""))</f>
        <v/>
      </c>
      <c r="I187" s="19" t="str">
        <f>IF($B187="","",IFERROR(INDEX(Jobs!$K$2:$K$501,MATCH($B187,Jobs!$A$2:$A$501,0)),""))</f>
        <v/>
      </c>
      <c r="J187" s="16"/>
    </row>
    <row r="188" spans="1:10" x14ac:dyDescent="0.3">
      <c r="A188" s="15" t="str">
        <f t="shared" si="2"/>
        <v/>
      </c>
      <c r="B188" s="16"/>
      <c r="C188" s="15" t="str">
        <f>IF($B188="","",IFERROR(INDEX(Jobs!$B$2:$B$501,MATCH($B188,Jobs!$A$2:$A$501,0)),""))</f>
        <v/>
      </c>
      <c r="D188" s="17"/>
      <c r="E188" s="18"/>
      <c r="F188" s="16"/>
      <c r="G188" s="16"/>
      <c r="H188" s="19" t="str">
        <f>IF($B188="","",IFERROR(INDEX(Jobs!$I$2:$I$501,MATCH($B188,Jobs!$A$2:$A$501,0)),""))</f>
        <v/>
      </c>
      <c r="I188" s="19" t="str">
        <f>IF($B188="","",IFERROR(INDEX(Jobs!$K$2:$K$501,MATCH($B188,Jobs!$A$2:$A$501,0)),""))</f>
        <v/>
      </c>
      <c r="J188" s="16"/>
    </row>
    <row r="189" spans="1:10" x14ac:dyDescent="0.3">
      <c r="A189" s="15" t="str">
        <f t="shared" si="2"/>
        <v/>
      </c>
      <c r="B189" s="16"/>
      <c r="C189" s="15" t="str">
        <f>IF($B189="","",IFERROR(INDEX(Jobs!$B$2:$B$501,MATCH($B189,Jobs!$A$2:$A$501,0)),""))</f>
        <v/>
      </c>
      <c r="D189" s="17"/>
      <c r="E189" s="18"/>
      <c r="F189" s="16"/>
      <c r="G189" s="16"/>
      <c r="H189" s="19" t="str">
        <f>IF($B189="","",IFERROR(INDEX(Jobs!$I$2:$I$501,MATCH($B189,Jobs!$A$2:$A$501,0)),""))</f>
        <v/>
      </c>
      <c r="I189" s="19" t="str">
        <f>IF($B189="","",IFERROR(INDEX(Jobs!$K$2:$K$501,MATCH($B189,Jobs!$A$2:$A$501,0)),""))</f>
        <v/>
      </c>
      <c r="J189" s="16"/>
    </row>
    <row r="190" spans="1:10" x14ac:dyDescent="0.3">
      <c r="A190" s="15" t="str">
        <f t="shared" si="2"/>
        <v/>
      </c>
      <c r="B190" s="16"/>
      <c r="C190" s="15" t="str">
        <f>IF($B190="","",IFERROR(INDEX(Jobs!$B$2:$B$501,MATCH($B190,Jobs!$A$2:$A$501,0)),""))</f>
        <v/>
      </c>
      <c r="D190" s="17"/>
      <c r="E190" s="18"/>
      <c r="F190" s="16"/>
      <c r="G190" s="16"/>
      <c r="H190" s="19" t="str">
        <f>IF($B190="","",IFERROR(INDEX(Jobs!$I$2:$I$501,MATCH($B190,Jobs!$A$2:$A$501,0)),""))</f>
        <v/>
      </c>
      <c r="I190" s="19" t="str">
        <f>IF($B190="","",IFERROR(INDEX(Jobs!$K$2:$K$501,MATCH($B190,Jobs!$A$2:$A$501,0)),""))</f>
        <v/>
      </c>
      <c r="J190" s="16"/>
    </row>
    <row r="191" spans="1:10" x14ac:dyDescent="0.3">
      <c r="A191" s="15" t="str">
        <f t="shared" si="2"/>
        <v/>
      </c>
      <c r="B191" s="16"/>
      <c r="C191" s="15" t="str">
        <f>IF($B191="","",IFERROR(INDEX(Jobs!$B$2:$B$501,MATCH($B191,Jobs!$A$2:$A$501,0)),""))</f>
        <v/>
      </c>
      <c r="D191" s="17"/>
      <c r="E191" s="18"/>
      <c r="F191" s="16"/>
      <c r="G191" s="16"/>
      <c r="H191" s="19" t="str">
        <f>IF($B191="","",IFERROR(INDEX(Jobs!$I$2:$I$501,MATCH($B191,Jobs!$A$2:$A$501,0)),""))</f>
        <v/>
      </c>
      <c r="I191" s="19" t="str">
        <f>IF($B191="","",IFERROR(INDEX(Jobs!$K$2:$K$501,MATCH($B191,Jobs!$A$2:$A$501,0)),""))</f>
        <v/>
      </c>
      <c r="J191" s="16"/>
    </row>
    <row r="192" spans="1:10" x14ac:dyDescent="0.3">
      <c r="A192" s="15" t="str">
        <f t="shared" si="2"/>
        <v/>
      </c>
      <c r="B192" s="16"/>
      <c r="C192" s="15" t="str">
        <f>IF($B192="","",IFERROR(INDEX(Jobs!$B$2:$B$501,MATCH($B192,Jobs!$A$2:$A$501,0)),""))</f>
        <v/>
      </c>
      <c r="D192" s="17"/>
      <c r="E192" s="18"/>
      <c r="F192" s="16"/>
      <c r="G192" s="16"/>
      <c r="H192" s="19" t="str">
        <f>IF($B192="","",IFERROR(INDEX(Jobs!$I$2:$I$501,MATCH($B192,Jobs!$A$2:$A$501,0)),""))</f>
        <v/>
      </c>
      <c r="I192" s="19" t="str">
        <f>IF($B192="","",IFERROR(INDEX(Jobs!$K$2:$K$501,MATCH($B192,Jobs!$A$2:$A$501,0)),""))</f>
        <v/>
      </c>
      <c r="J192" s="16"/>
    </row>
    <row r="193" spans="1:10" x14ac:dyDescent="0.3">
      <c r="A193" s="15" t="str">
        <f t="shared" si="2"/>
        <v/>
      </c>
      <c r="B193" s="16"/>
      <c r="C193" s="15" t="str">
        <f>IF($B193="","",IFERROR(INDEX(Jobs!$B$2:$B$501,MATCH($B193,Jobs!$A$2:$A$501,0)),""))</f>
        <v/>
      </c>
      <c r="D193" s="17"/>
      <c r="E193" s="18"/>
      <c r="F193" s="16"/>
      <c r="G193" s="16"/>
      <c r="H193" s="19" t="str">
        <f>IF($B193="","",IFERROR(INDEX(Jobs!$I$2:$I$501,MATCH($B193,Jobs!$A$2:$A$501,0)),""))</f>
        <v/>
      </c>
      <c r="I193" s="19" t="str">
        <f>IF($B193="","",IFERROR(INDEX(Jobs!$K$2:$K$501,MATCH($B193,Jobs!$A$2:$A$501,0)),""))</f>
        <v/>
      </c>
      <c r="J193" s="16"/>
    </row>
    <row r="194" spans="1:10" x14ac:dyDescent="0.3">
      <c r="A194" s="15" t="str">
        <f t="shared" ref="A194:A257" si="3">IF(B194="","","PAY-"&amp;TEXT(ROW()-1,"0000"))</f>
        <v/>
      </c>
      <c r="B194" s="16"/>
      <c r="C194" s="15" t="str">
        <f>IF($B194="","",IFERROR(INDEX(Jobs!$B$2:$B$501,MATCH($B194,Jobs!$A$2:$A$501,0)),""))</f>
        <v/>
      </c>
      <c r="D194" s="17"/>
      <c r="E194" s="18"/>
      <c r="F194" s="16"/>
      <c r="G194" s="16"/>
      <c r="H194" s="19" t="str">
        <f>IF($B194="","",IFERROR(INDEX(Jobs!$I$2:$I$501,MATCH($B194,Jobs!$A$2:$A$501,0)),""))</f>
        <v/>
      </c>
      <c r="I194" s="19" t="str">
        <f>IF($B194="","",IFERROR(INDEX(Jobs!$K$2:$K$501,MATCH($B194,Jobs!$A$2:$A$501,0)),""))</f>
        <v/>
      </c>
      <c r="J194" s="16"/>
    </row>
    <row r="195" spans="1:10" x14ac:dyDescent="0.3">
      <c r="A195" s="15" t="str">
        <f t="shared" si="3"/>
        <v/>
      </c>
      <c r="B195" s="16"/>
      <c r="C195" s="15" t="str">
        <f>IF($B195="","",IFERROR(INDEX(Jobs!$B$2:$B$501,MATCH($B195,Jobs!$A$2:$A$501,0)),""))</f>
        <v/>
      </c>
      <c r="D195" s="17"/>
      <c r="E195" s="18"/>
      <c r="F195" s="16"/>
      <c r="G195" s="16"/>
      <c r="H195" s="19" t="str">
        <f>IF($B195="","",IFERROR(INDEX(Jobs!$I$2:$I$501,MATCH($B195,Jobs!$A$2:$A$501,0)),""))</f>
        <v/>
      </c>
      <c r="I195" s="19" t="str">
        <f>IF($B195="","",IFERROR(INDEX(Jobs!$K$2:$K$501,MATCH($B195,Jobs!$A$2:$A$501,0)),""))</f>
        <v/>
      </c>
      <c r="J195" s="16"/>
    </row>
    <row r="196" spans="1:10" x14ac:dyDescent="0.3">
      <c r="A196" s="15" t="str">
        <f t="shared" si="3"/>
        <v/>
      </c>
      <c r="B196" s="16"/>
      <c r="C196" s="15" t="str">
        <f>IF($B196="","",IFERROR(INDEX(Jobs!$B$2:$B$501,MATCH($B196,Jobs!$A$2:$A$501,0)),""))</f>
        <v/>
      </c>
      <c r="D196" s="17"/>
      <c r="E196" s="18"/>
      <c r="F196" s="16"/>
      <c r="G196" s="16"/>
      <c r="H196" s="19" t="str">
        <f>IF($B196="","",IFERROR(INDEX(Jobs!$I$2:$I$501,MATCH($B196,Jobs!$A$2:$A$501,0)),""))</f>
        <v/>
      </c>
      <c r="I196" s="19" t="str">
        <f>IF($B196="","",IFERROR(INDEX(Jobs!$K$2:$K$501,MATCH($B196,Jobs!$A$2:$A$501,0)),""))</f>
        <v/>
      </c>
      <c r="J196" s="16"/>
    </row>
    <row r="197" spans="1:10" x14ac:dyDescent="0.3">
      <c r="A197" s="15" t="str">
        <f t="shared" si="3"/>
        <v/>
      </c>
      <c r="B197" s="16"/>
      <c r="C197" s="15" t="str">
        <f>IF($B197="","",IFERROR(INDEX(Jobs!$B$2:$B$501,MATCH($B197,Jobs!$A$2:$A$501,0)),""))</f>
        <v/>
      </c>
      <c r="D197" s="17"/>
      <c r="E197" s="18"/>
      <c r="F197" s="16"/>
      <c r="G197" s="16"/>
      <c r="H197" s="19" t="str">
        <f>IF($B197="","",IFERROR(INDEX(Jobs!$I$2:$I$501,MATCH($B197,Jobs!$A$2:$A$501,0)),""))</f>
        <v/>
      </c>
      <c r="I197" s="19" t="str">
        <f>IF($B197="","",IFERROR(INDEX(Jobs!$K$2:$K$501,MATCH($B197,Jobs!$A$2:$A$501,0)),""))</f>
        <v/>
      </c>
      <c r="J197" s="16"/>
    </row>
    <row r="198" spans="1:10" x14ac:dyDescent="0.3">
      <c r="A198" s="15" t="str">
        <f t="shared" si="3"/>
        <v/>
      </c>
      <c r="B198" s="16"/>
      <c r="C198" s="15" t="str">
        <f>IF($B198="","",IFERROR(INDEX(Jobs!$B$2:$B$501,MATCH($B198,Jobs!$A$2:$A$501,0)),""))</f>
        <v/>
      </c>
      <c r="D198" s="17"/>
      <c r="E198" s="18"/>
      <c r="F198" s="16"/>
      <c r="G198" s="16"/>
      <c r="H198" s="19" t="str">
        <f>IF($B198="","",IFERROR(INDEX(Jobs!$I$2:$I$501,MATCH($B198,Jobs!$A$2:$A$501,0)),""))</f>
        <v/>
      </c>
      <c r="I198" s="19" t="str">
        <f>IF($B198="","",IFERROR(INDEX(Jobs!$K$2:$K$501,MATCH($B198,Jobs!$A$2:$A$501,0)),""))</f>
        <v/>
      </c>
      <c r="J198" s="16"/>
    </row>
    <row r="199" spans="1:10" x14ac:dyDescent="0.3">
      <c r="A199" s="15" t="str">
        <f t="shared" si="3"/>
        <v/>
      </c>
      <c r="B199" s="16"/>
      <c r="C199" s="15" t="str">
        <f>IF($B199="","",IFERROR(INDEX(Jobs!$B$2:$B$501,MATCH($B199,Jobs!$A$2:$A$501,0)),""))</f>
        <v/>
      </c>
      <c r="D199" s="17"/>
      <c r="E199" s="18"/>
      <c r="F199" s="16"/>
      <c r="G199" s="16"/>
      <c r="H199" s="19" t="str">
        <f>IF($B199="","",IFERROR(INDEX(Jobs!$I$2:$I$501,MATCH($B199,Jobs!$A$2:$A$501,0)),""))</f>
        <v/>
      </c>
      <c r="I199" s="19" t="str">
        <f>IF($B199="","",IFERROR(INDEX(Jobs!$K$2:$K$501,MATCH($B199,Jobs!$A$2:$A$501,0)),""))</f>
        <v/>
      </c>
      <c r="J199" s="16"/>
    </row>
    <row r="200" spans="1:10" x14ac:dyDescent="0.3">
      <c r="A200" s="15" t="str">
        <f t="shared" si="3"/>
        <v/>
      </c>
      <c r="B200" s="16"/>
      <c r="C200" s="15" t="str">
        <f>IF($B200="","",IFERROR(INDEX(Jobs!$B$2:$B$501,MATCH($B200,Jobs!$A$2:$A$501,0)),""))</f>
        <v/>
      </c>
      <c r="D200" s="17"/>
      <c r="E200" s="18"/>
      <c r="F200" s="16"/>
      <c r="G200" s="16"/>
      <c r="H200" s="19" t="str">
        <f>IF($B200="","",IFERROR(INDEX(Jobs!$I$2:$I$501,MATCH($B200,Jobs!$A$2:$A$501,0)),""))</f>
        <v/>
      </c>
      <c r="I200" s="19" t="str">
        <f>IF($B200="","",IFERROR(INDEX(Jobs!$K$2:$K$501,MATCH($B200,Jobs!$A$2:$A$501,0)),""))</f>
        <v/>
      </c>
      <c r="J200" s="16"/>
    </row>
    <row r="201" spans="1:10" x14ac:dyDescent="0.3">
      <c r="A201" s="15" t="str">
        <f t="shared" si="3"/>
        <v/>
      </c>
      <c r="B201" s="16"/>
      <c r="C201" s="15" t="str">
        <f>IF($B201="","",IFERROR(INDEX(Jobs!$B$2:$B$501,MATCH($B201,Jobs!$A$2:$A$501,0)),""))</f>
        <v/>
      </c>
      <c r="D201" s="17"/>
      <c r="E201" s="18"/>
      <c r="F201" s="16"/>
      <c r="G201" s="16"/>
      <c r="H201" s="19" t="str">
        <f>IF($B201="","",IFERROR(INDEX(Jobs!$I$2:$I$501,MATCH($B201,Jobs!$A$2:$A$501,0)),""))</f>
        <v/>
      </c>
      <c r="I201" s="19" t="str">
        <f>IF($B201="","",IFERROR(INDEX(Jobs!$K$2:$K$501,MATCH($B201,Jobs!$A$2:$A$501,0)),""))</f>
        <v/>
      </c>
      <c r="J201" s="16"/>
    </row>
    <row r="202" spans="1:10" x14ac:dyDescent="0.3">
      <c r="A202" s="15" t="str">
        <f t="shared" si="3"/>
        <v/>
      </c>
      <c r="B202" s="16"/>
      <c r="C202" s="15" t="str">
        <f>IF($B202="","",IFERROR(INDEX(Jobs!$B$2:$B$501,MATCH($B202,Jobs!$A$2:$A$501,0)),""))</f>
        <v/>
      </c>
      <c r="D202" s="17"/>
      <c r="E202" s="18"/>
      <c r="F202" s="16"/>
      <c r="G202" s="16"/>
      <c r="H202" s="19" t="str">
        <f>IF($B202="","",IFERROR(INDEX(Jobs!$I$2:$I$501,MATCH($B202,Jobs!$A$2:$A$501,0)),""))</f>
        <v/>
      </c>
      <c r="I202" s="19" t="str">
        <f>IF($B202="","",IFERROR(INDEX(Jobs!$K$2:$K$501,MATCH($B202,Jobs!$A$2:$A$501,0)),""))</f>
        <v/>
      </c>
      <c r="J202" s="16"/>
    </row>
    <row r="203" spans="1:10" x14ac:dyDescent="0.3">
      <c r="A203" s="15" t="str">
        <f t="shared" si="3"/>
        <v/>
      </c>
      <c r="B203" s="16"/>
      <c r="C203" s="15" t="str">
        <f>IF($B203="","",IFERROR(INDEX(Jobs!$B$2:$B$501,MATCH($B203,Jobs!$A$2:$A$501,0)),""))</f>
        <v/>
      </c>
      <c r="D203" s="17"/>
      <c r="E203" s="18"/>
      <c r="F203" s="16"/>
      <c r="G203" s="16"/>
      <c r="H203" s="19" t="str">
        <f>IF($B203="","",IFERROR(INDEX(Jobs!$I$2:$I$501,MATCH($B203,Jobs!$A$2:$A$501,0)),""))</f>
        <v/>
      </c>
      <c r="I203" s="19" t="str">
        <f>IF($B203="","",IFERROR(INDEX(Jobs!$K$2:$K$501,MATCH($B203,Jobs!$A$2:$A$501,0)),""))</f>
        <v/>
      </c>
      <c r="J203" s="16"/>
    </row>
    <row r="204" spans="1:10" x14ac:dyDescent="0.3">
      <c r="A204" s="15" t="str">
        <f t="shared" si="3"/>
        <v/>
      </c>
      <c r="B204" s="16"/>
      <c r="C204" s="15" t="str">
        <f>IF($B204="","",IFERROR(INDEX(Jobs!$B$2:$B$501,MATCH($B204,Jobs!$A$2:$A$501,0)),""))</f>
        <v/>
      </c>
      <c r="D204" s="17"/>
      <c r="E204" s="18"/>
      <c r="F204" s="16"/>
      <c r="G204" s="16"/>
      <c r="H204" s="19" t="str">
        <f>IF($B204="","",IFERROR(INDEX(Jobs!$I$2:$I$501,MATCH($B204,Jobs!$A$2:$A$501,0)),""))</f>
        <v/>
      </c>
      <c r="I204" s="19" t="str">
        <f>IF($B204="","",IFERROR(INDEX(Jobs!$K$2:$K$501,MATCH($B204,Jobs!$A$2:$A$501,0)),""))</f>
        <v/>
      </c>
      <c r="J204" s="16"/>
    </row>
    <row r="205" spans="1:10" x14ac:dyDescent="0.3">
      <c r="A205" s="15" t="str">
        <f t="shared" si="3"/>
        <v/>
      </c>
      <c r="B205" s="16"/>
      <c r="C205" s="15" t="str">
        <f>IF($B205="","",IFERROR(INDEX(Jobs!$B$2:$B$501,MATCH($B205,Jobs!$A$2:$A$501,0)),""))</f>
        <v/>
      </c>
      <c r="D205" s="17"/>
      <c r="E205" s="18"/>
      <c r="F205" s="16"/>
      <c r="G205" s="16"/>
      <c r="H205" s="19" t="str">
        <f>IF($B205="","",IFERROR(INDEX(Jobs!$I$2:$I$501,MATCH($B205,Jobs!$A$2:$A$501,0)),""))</f>
        <v/>
      </c>
      <c r="I205" s="19" t="str">
        <f>IF($B205="","",IFERROR(INDEX(Jobs!$K$2:$K$501,MATCH($B205,Jobs!$A$2:$A$501,0)),""))</f>
        <v/>
      </c>
      <c r="J205" s="16"/>
    </row>
    <row r="206" spans="1:10" x14ac:dyDescent="0.3">
      <c r="A206" s="15" t="str">
        <f t="shared" si="3"/>
        <v/>
      </c>
      <c r="B206" s="16"/>
      <c r="C206" s="15" t="str">
        <f>IF($B206="","",IFERROR(INDEX(Jobs!$B$2:$B$501,MATCH($B206,Jobs!$A$2:$A$501,0)),""))</f>
        <v/>
      </c>
      <c r="D206" s="17"/>
      <c r="E206" s="18"/>
      <c r="F206" s="16"/>
      <c r="G206" s="16"/>
      <c r="H206" s="19" t="str">
        <f>IF($B206="","",IFERROR(INDEX(Jobs!$I$2:$I$501,MATCH($B206,Jobs!$A$2:$A$501,0)),""))</f>
        <v/>
      </c>
      <c r="I206" s="19" t="str">
        <f>IF($B206="","",IFERROR(INDEX(Jobs!$K$2:$K$501,MATCH($B206,Jobs!$A$2:$A$501,0)),""))</f>
        <v/>
      </c>
      <c r="J206" s="16"/>
    </row>
    <row r="207" spans="1:10" x14ac:dyDescent="0.3">
      <c r="A207" s="15" t="str">
        <f t="shared" si="3"/>
        <v/>
      </c>
      <c r="B207" s="16"/>
      <c r="C207" s="15" t="str">
        <f>IF($B207="","",IFERROR(INDEX(Jobs!$B$2:$B$501,MATCH($B207,Jobs!$A$2:$A$501,0)),""))</f>
        <v/>
      </c>
      <c r="D207" s="17"/>
      <c r="E207" s="18"/>
      <c r="F207" s="16"/>
      <c r="G207" s="16"/>
      <c r="H207" s="19" t="str">
        <f>IF($B207="","",IFERROR(INDEX(Jobs!$I$2:$I$501,MATCH($B207,Jobs!$A$2:$A$501,0)),""))</f>
        <v/>
      </c>
      <c r="I207" s="19" t="str">
        <f>IF($B207="","",IFERROR(INDEX(Jobs!$K$2:$K$501,MATCH($B207,Jobs!$A$2:$A$501,0)),""))</f>
        <v/>
      </c>
      <c r="J207" s="16"/>
    </row>
    <row r="208" spans="1:10" x14ac:dyDescent="0.3">
      <c r="A208" s="15" t="str">
        <f t="shared" si="3"/>
        <v/>
      </c>
      <c r="B208" s="16"/>
      <c r="C208" s="15" t="str">
        <f>IF($B208="","",IFERROR(INDEX(Jobs!$B$2:$B$501,MATCH($B208,Jobs!$A$2:$A$501,0)),""))</f>
        <v/>
      </c>
      <c r="D208" s="17"/>
      <c r="E208" s="18"/>
      <c r="F208" s="16"/>
      <c r="G208" s="16"/>
      <c r="H208" s="19" t="str">
        <f>IF($B208="","",IFERROR(INDEX(Jobs!$I$2:$I$501,MATCH($B208,Jobs!$A$2:$A$501,0)),""))</f>
        <v/>
      </c>
      <c r="I208" s="19" t="str">
        <f>IF($B208="","",IFERROR(INDEX(Jobs!$K$2:$K$501,MATCH($B208,Jobs!$A$2:$A$501,0)),""))</f>
        <v/>
      </c>
      <c r="J208" s="16"/>
    </row>
    <row r="209" spans="1:10" x14ac:dyDescent="0.3">
      <c r="A209" s="15" t="str">
        <f t="shared" si="3"/>
        <v/>
      </c>
      <c r="B209" s="16"/>
      <c r="C209" s="15" t="str">
        <f>IF($B209="","",IFERROR(INDEX(Jobs!$B$2:$B$501,MATCH($B209,Jobs!$A$2:$A$501,0)),""))</f>
        <v/>
      </c>
      <c r="D209" s="17"/>
      <c r="E209" s="18"/>
      <c r="F209" s="16"/>
      <c r="G209" s="16"/>
      <c r="H209" s="19" t="str">
        <f>IF($B209="","",IFERROR(INDEX(Jobs!$I$2:$I$501,MATCH($B209,Jobs!$A$2:$A$501,0)),""))</f>
        <v/>
      </c>
      <c r="I209" s="19" t="str">
        <f>IF($B209="","",IFERROR(INDEX(Jobs!$K$2:$K$501,MATCH($B209,Jobs!$A$2:$A$501,0)),""))</f>
        <v/>
      </c>
      <c r="J209" s="16"/>
    </row>
    <row r="210" spans="1:10" x14ac:dyDescent="0.3">
      <c r="A210" s="15" t="str">
        <f t="shared" si="3"/>
        <v/>
      </c>
      <c r="B210" s="16"/>
      <c r="C210" s="15" t="str">
        <f>IF($B210="","",IFERROR(INDEX(Jobs!$B$2:$B$501,MATCH($B210,Jobs!$A$2:$A$501,0)),""))</f>
        <v/>
      </c>
      <c r="D210" s="17"/>
      <c r="E210" s="18"/>
      <c r="F210" s="16"/>
      <c r="G210" s="16"/>
      <c r="H210" s="19" t="str">
        <f>IF($B210="","",IFERROR(INDEX(Jobs!$I$2:$I$501,MATCH($B210,Jobs!$A$2:$A$501,0)),""))</f>
        <v/>
      </c>
      <c r="I210" s="19" t="str">
        <f>IF($B210="","",IFERROR(INDEX(Jobs!$K$2:$K$501,MATCH($B210,Jobs!$A$2:$A$501,0)),""))</f>
        <v/>
      </c>
      <c r="J210" s="16"/>
    </row>
    <row r="211" spans="1:10" x14ac:dyDescent="0.3">
      <c r="A211" s="15" t="str">
        <f t="shared" si="3"/>
        <v/>
      </c>
      <c r="B211" s="16"/>
      <c r="C211" s="15" t="str">
        <f>IF($B211="","",IFERROR(INDEX(Jobs!$B$2:$B$501,MATCH($B211,Jobs!$A$2:$A$501,0)),""))</f>
        <v/>
      </c>
      <c r="D211" s="17"/>
      <c r="E211" s="18"/>
      <c r="F211" s="16"/>
      <c r="G211" s="16"/>
      <c r="H211" s="19" t="str">
        <f>IF($B211="","",IFERROR(INDEX(Jobs!$I$2:$I$501,MATCH($B211,Jobs!$A$2:$A$501,0)),""))</f>
        <v/>
      </c>
      <c r="I211" s="19" t="str">
        <f>IF($B211="","",IFERROR(INDEX(Jobs!$K$2:$K$501,MATCH($B211,Jobs!$A$2:$A$501,0)),""))</f>
        <v/>
      </c>
      <c r="J211" s="16"/>
    </row>
    <row r="212" spans="1:10" x14ac:dyDescent="0.3">
      <c r="A212" s="15" t="str">
        <f t="shared" si="3"/>
        <v/>
      </c>
      <c r="B212" s="16"/>
      <c r="C212" s="15" t="str">
        <f>IF($B212="","",IFERROR(INDEX(Jobs!$B$2:$B$501,MATCH($B212,Jobs!$A$2:$A$501,0)),""))</f>
        <v/>
      </c>
      <c r="D212" s="17"/>
      <c r="E212" s="18"/>
      <c r="F212" s="16"/>
      <c r="G212" s="16"/>
      <c r="H212" s="19" t="str">
        <f>IF($B212="","",IFERROR(INDEX(Jobs!$I$2:$I$501,MATCH($B212,Jobs!$A$2:$A$501,0)),""))</f>
        <v/>
      </c>
      <c r="I212" s="19" t="str">
        <f>IF($B212="","",IFERROR(INDEX(Jobs!$K$2:$K$501,MATCH($B212,Jobs!$A$2:$A$501,0)),""))</f>
        <v/>
      </c>
      <c r="J212" s="16"/>
    </row>
    <row r="213" spans="1:10" x14ac:dyDescent="0.3">
      <c r="A213" s="15" t="str">
        <f t="shared" si="3"/>
        <v/>
      </c>
      <c r="B213" s="16"/>
      <c r="C213" s="15" t="str">
        <f>IF($B213="","",IFERROR(INDEX(Jobs!$B$2:$B$501,MATCH($B213,Jobs!$A$2:$A$501,0)),""))</f>
        <v/>
      </c>
      <c r="D213" s="17"/>
      <c r="E213" s="18"/>
      <c r="F213" s="16"/>
      <c r="G213" s="16"/>
      <c r="H213" s="19" t="str">
        <f>IF($B213="","",IFERROR(INDEX(Jobs!$I$2:$I$501,MATCH($B213,Jobs!$A$2:$A$501,0)),""))</f>
        <v/>
      </c>
      <c r="I213" s="19" t="str">
        <f>IF($B213="","",IFERROR(INDEX(Jobs!$K$2:$K$501,MATCH($B213,Jobs!$A$2:$A$501,0)),""))</f>
        <v/>
      </c>
      <c r="J213" s="16"/>
    </row>
    <row r="214" spans="1:10" x14ac:dyDescent="0.3">
      <c r="A214" s="15" t="str">
        <f t="shared" si="3"/>
        <v/>
      </c>
      <c r="B214" s="16"/>
      <c r="C214" s="15" t="str">
        <f>IF($B214="","",IFERROR(INDEX(Jobs!$B$2:$B$501,MATCH($B214,Jobs!$A$2:$A$501,0)),""))</f>
        <v/>
      </c>
      <c r="D214" s="17"/>
      <c r="E214" s="18"/>
      <c r="F214" s="16"/>
      <c r="G214" s="16"/>
      <c r="H214" s="19" t="str">
        <f>IF($B214="","",IFERROR(INDEX(Jobs!$I$2:$I$501,MATCH($B214,Jobs!$A$2:$A$501,0)),""))</f>
        <v/>
      </c>
      <c r="I214" s="19" t="str">
        <f>IF($B214="","",IFERROR(INDEX(Jobs!$K$2:$K$501,MATCH($B214,Jobs!$A$2:$A$501,0)),""))</f>
        <v/>
      </c>
      <c r="J214" s="16"/>
    </row>
    <row r="215" spans="1:10" x14ac:dyDescent="0.3">
      <c r="A215" s="15" t="str">
        <f t="shared" si="3"/>
        <v/>
      </c>
      <c r="B215" s="16"/>
      <c r="C215" s="15" t="str">
        <f>IF($B215="","",IFERROR(INDEX(Jobs!$B$2:$B$501,MATCH($B215,Jobs!$A$2:$A$501,0)),""))</f>
        <v/>
      </c>
      <c r="D215" s="17"/>
      <c r="E215" s="18"/>
      <c r="F215" s="16"/>
      <c r="G215" s="16"/>
      <c r="H215" s="19" t="str">
        <f>IF($B215="","",IFERROR(INDEX(Jobs!$I$2:$I$501,MATCH($B215,Jobs!$A$2:$A$501,0)),""))</f>
        <v/>
      </c>
      <c r="I215" s="19" t="str">
        <f>IF($B215="","",IFERROR(INDEX(Jobs!$K$2:$K$501,MATCH($B215,Jobs!$A$2:$A$501,0)),""))</f>
        <v/>
      </c>
      <c r="J215" s="16"/>
    </row>
    <row r="216" spans="1:10" x14ac:dyDescent="0.3">
      <c r="A216" s="15" t="str">
        <f t="shared" si="3"/>
        <v/>
      </c>
      <c r="B216" s="16"/>
      <c r="C216" s="15" t="str">
        <f>IF($B216="","",IFERROR(INDEX(Jobs!$B$2:$B$501,MATCH($B216,Jobs!$A$2:$A$501,0)),""))</f>
        <v/>
      </c>
      <c r="D216" s="17"/>
      <c r="E216" s="18"/>
      <c r="F216" s="16"/>
      <c r="G216" s="16"/>
      <c r="H216" s="19" t="str">
        <f>IF($B216="","",IFERROR(INDEX(Jobs!$I$2:$I$501,MATCH($B216,Jobs!$A$2:$A$501,0)),""))</f>
        <v/>
      </c>
      <c r="I216" s="19" t="str">
        <f>IF($B216="","",IFERROR(INDEX(Jobs!$K$2:$K$501,MATCH($B216,Jobs!$A$2:$A$501,0)),""))</f>
        <v/>
      </c>
      <c r="J216" s="16"/>
    </row>
    <row r="217" spans="1:10" x14ac:dyDescent="0.3">
      <c r="A217" s="15" t="str">
        <f t="shared" si="3"/>
        <v/>
      </c>
      <c r="B217" s="16"/>
      <c r="C217" s="15" t="str">
        <f>IF($B217="","",IFERROR(INDEX(Jobs!$B$2:$B$501,MATCH($B217,Jobs!$A$2:$A$501,0)),""))</f>
        <v/>
      </c>
      <c r="D217" s="17"/>
      <c r="E217" s="18"/>
      <c r="F217" s="16"/>
      <c r="G217" s="16"/>
      <c r="H217" s="19" t="str">
        <f>IF($B217="","",IFERROR(INDEX(Jobs!$I$2:$I$501,MATCH($B217,Jobs!$A$2:$A$501,0)),""))</f>
        <v/>
      </c>
      <c r="I217" s="19" t="str">
        <f>IF($B217="","",IFERROR(INDEX(Jobs!$K$2:$K$501,MATCH($B217,Jobs!$A$2:$A$501,0)),""))</f>
        <v/>
      </c>
      <c r="J217" s="16"/>
    </row>
    <row r="218" spans="1:10" x14ac:dyDescent="0.3">
      <c r="A218" s="15" t="str">
        <f t="shared" si="3"/>
        <v/>
      </c>
      <c r="B218" s="16"/>
      <c r="C218" s="15" t="str">
        <f>IF($B218="","",IFERROR(INDEX(Jobs!$B$2:$B$501,MATCH($B218,Jobs!$A$2:$A$501,0)),""))</f>
        <v/>
      </c>
      <c r="D218" s="17"/>
      <c r="E218" s="18"/>
      <c r="F218" s="16"/>
      <c r="G218" s="16"/>
      <c r="H218" s="19" t="str">
        <f>IF($B218="","",IFERROR(INDEX(Jobs!$I$2:$I$501,MATCH($B218,Jobs!$A$2:$A$501,0)),""))</f>
        <v/>
      </c>
      <c r="I218" s="19" t="str">
        <f>IF($B218="","",IFERROR(INDEX(Jobs!$K$2:$K$501,MATCH($B218,Jobs!$A$2:$A$501,0)),""))</f>
        <v/>
      </c>
      <c r="J218" s="16"/>
    </row>
    <row r="219" spans="1:10" x14ac:dyDescent="0.3">
      <c r="A219" s="15" t="str">
        <f t="shared" si="3"/>
        <v/>
      </c>
      <c r="B219" s="16"/>
      <c r="C219" s="15" t="str">
        <f>IF($B219="","",IFERROR(INDEX(Jobs!$B$2:$B$501,MATCH($B219,Jobs!$A$2:$A$501,0)),""))</f>
        <v/>
      </c>
      <c r="D219" s="17"/>
      <c r="E219" s="18"/>
      <c r="F219" s="16"/>
      <c r="G219" s="16"/>
      <c r="H219" s="19" t="str">
        <f>IF($B219="","",IFERROR(INDEX(Jobs!$I$2:$I$501,MATCH($B219,Jobs!$A$2:$A$501,0)),""))</f>
        <v/>
      </c>
      <c r="I219" s="19" t="str">
        <f>IF($B219="","",IFERROR(INDEX(Jobs!$K$2:$K$501,MATCH($B219,Jobs!$A$2:$A$501,0)),""))</f>
        <v/>
      </c>
      <c r="J219" s="16"/>
    </row>
    <row r="220" spans="1:10" x14ac:dyDescent="0.3">
      <c r="A220" s="15" t="str">
        <f t="shared" si="3"/>
        <v/>
      </c>
      <c r="B220" s="16"/>
      <c r="C220" s="15" t="str">
        <f>IF($B220="","",IFERROR(INDEX(Jobs!$B$2:$B$501,MATCH($B220,Jobs!$A$2:$A$501,0)),""))</f>
        <v/>
      </c>
      <c r="D220" s="17"/>
      <c r="E220" s="18"/>
      <c r="F220" s="16"/>
      <c r="G220" s="16"/>
      <c r="H220" s="19" t="str">
        <f>IF($B220="","",IFERROR(INDEX(Jobs!$I$2:$I$501,MATCH($B220,Jobs!$A$2:$A$501,0)),""))</f>
        <v/>
      </c>
      <c r="I220" s="19" t="str">
        <f>IF($B220="","",IFERROR(INDEX(Jobs!$K$2:$K$501,MATCH($B220,Jobs!$A$2:$A$501,0)),""))</f>
        <v/>
      </c>
      <c r="J220" s="16"/>
    </row>
    <row r="221" spans="1:10" x14ac:dyDescent="0.3">
      <c r="A221" s="15" t="str">
        <f t="shared" si="3"/>
        <v/>
      </c>
      <c r="B221" s="16"/>
      <c r="C221" s="15" t="str">
        <f>IF($B221="","",IFERROR(INDEX(Jobs!$B$2:$B$501,MATCH($B221,Jobs!$A$2:$A$501,0)),""))</f>
        <v/>
      </c>
      <c r="D221" s="17"/>
      <c r="E221" s="18"/>
      <c r="F221" s="16"/>
      <c r="G221" s="16"/>
      <c r="H221" s="19" t="str">
        <f>IF($B221="","",IFERROR(INDEX(Jobs!$I$2:$I$501,MATCH($B221,Jobs!$A$2:$A$501,0)),""))</f>
        <v/>
      </c>
      <c r="I221" s="19" t="str">
        <f>IF($B221="","",IFERROR(INDEX(Jobs!$K$2:$K$501,MATCH($B221,Jobs!$A$2:$A$501,0)),""))</f>
        <v/>
      </c>
      <c r="J221" s="16"/>
    </row>
    <row r="222" spans="1:10" x14ac:dyDescent="0.3">
      <c r="A222" s="15" t="str">
        <f t="shared" si="3"/>
        <v/>
      </c>
      <c r="B222" s="16"/>
      <c r="C222" s="15" t="str">
        <f>IF($B222="","",IFERROR(INDEX(Jobs!$B$2:$B$501,MATCH($B222,Jobs!$A$2:$A$501,0)),""))</f>
        <v/>
      </c>
      <c r="D222" s="17"/>
      <c r="E222" s="18"/>
      <c r="F222" s="16"/>
      <c r="G222" s="16"/>
      <c r="H222" s="19" t="str">
        <f>IF($B222="","",IFERROR(INDEX(Jobs!$I$2:$I$501,MATCH($B222,Jobs!$A$2:$A$501,0)),""))</f>
        <v/>
      </c>
      <c r="I222" s="19" t="str">
        <f>IF($B222="","",IFERROR(INDEX(Jobs!$K$2:$K$501,MATCH($B222,Jobs!$A$2:$A$501,0)),""))</f>
        <v/>
      </c>
      <c r="J222" s="16"/>
    </row>
    <row r="223" spans="1:10" x14ac:dyDescent="0.3">
      <c r="A223" s="15" t="str">
        <f t="shared" si="3"/>
        <v/>
      </c>
      <c r="B223" s="16"/>
      <c r="C223" s="15" t="str">
        <f>IF($B223="","",IFERROR(INDEX(Jobs!$B$2:$B$501,MATCH($B223,Jobs!$A$2:$A$501,0)),""))</f>
        <v/>
      </c>
      <c r="D223" s="17"/>
      <c r="E223" s="18"/>
      <c r="F223" s="16"/>
      <c r="G223" s="16"/>
      <c r="H223" s="19" t="str">
        <f>IF($B223="","",IFERROR(INDEX(Jobs!$I$2:$I$501,MATCH($B223,Jobs!$A$2:$A$501,0)),""))</f>
        <v/>
      </c>
      <c r="I223" s="19" t="str">
        <f>IF($B223="","",IFERROR(INDEX(Jobs!$K$2:$K$501,MATCH($B223,Jobs!$A$2:$A$501,0)),""))</f>
        <v/>
      </c>
      <c r="J223" s="16"/>
    </row>
    <row r="224" spans="1:10" x14ac:dyDescent="0.3">
      <c r="A224" s="15" t="str">
        <f t="shared" si="3"/>
        <v/>
      </c>
      <c r="B224" s="16"/>
      <c r="C224" s="15" t="str">
        <f>IF($B224="","",IFERROR(INDEX(Jobs!$B$2:$B$501,MATCH($B224,Jobs!$A$2:$A$501,0)),""))</f>
        <v/>
      </c>
      <c r="D224" s="17"/>
      <c r="E224" s="18"/>
      <c r="F224" s="16"/>
      <c r="G224" s="16"/>
      <c r="H224" s="19" t="str">
        <f>IF($B224="","",IFERROR(INDEX(Jobs!$I$2:$I$501,MATCH($B224,Jobs!$A$2:$A$501,0)),""))</f>
        <v/>
      </c>
      <c r="I224" s="19" t="str">
        <f>IF($B224="","",IFERROR(INDEX(Jobs!$K$2:$K$501,MATCH($B224,Jobs!$A$2:$A$501,0)),""))</f>
        <v/>
      </c>
      <c r="J224" s="16"/>
    </row>
    <row r="225" spans="1:10" x14ac:dyDescent="0.3">
      <c r="A225" s="15" t="str">
        <f t="shared" si="3"/>
        <v/>
      </c>
      <c r="B225" s="16"/>
      <c r="C225" s="15" t="str">
        <f>IF($B225="","",IFERROR(INDEX(Jobs!$B$2:$B$501,MATCH($B225,Jobs!$A$2:$A$501,0)),""))</f>
        <v/>
      </c>
      <c r="D225" s="17"/>
      <c r="E225" s="18"/>
      <c r="F225" s="16"/>
      <c r="G225" s="16"/>
      <c r="H225" s="19" t="str">
        <f>IF($B225="","",IFERROR(INDEX(Jobs!$I$2:$I$501,MATCH($B225,Jobs!$A$2:$A$501,0)),""))</f>
        <v/>
      </c>
      <c r="I225" s="19" t="str">
        <f>IF($B225="","",IFERROR(INDEX(Jobs!$K$2:$K$501,MATCH($B225,Jobs!$A$2:$A$501,0)),""))</f>
        <v/>
      </c>
      <c r="J225" s="16"/>
    </row>
    <row r="226" spans="1:10" x14ac:dyDescent="0.3">
      <c r="A226" s="15" t="str">
        <f t="shared" si="3"/>
        <v/>
      </c>
      <c r="B226" s="16"/>
      <c r="C226" s="15" t="str">
        <f>IF($B226="","",IFERROR(INDEX(Jobs!$B$2:$B$501,MATCH($B226,Jobs!$A$2:$A$501,0)),""))</f>
        <v/>
      </c>
      <c r="D226" s="17"/>
      <c r="E226" s="18"/>
      <c r="F226" s="16"/>
      <c r="G226" s="16"/>
      <c r="H226" s="19" t="str">
        <f>IF($B226="","",IFERROR(INDEX(Jobs!$I$2:$I$501,MATCH($B226,Jobs!$A$2:$A$501,0)),""))</f>
        <v/>
      </c>
      <c r="I226" s="19" t="str">
        <f>IF($B226="","",IFERROR(INDEX(Jobs!$K$2:$K$501,MATCH($B226,Jobs!$A$2:$A$501,0)),""))</f>
        <v/>
      </c>
      <c r="J226" s="16"/>
    </row>
    <row r="227" spans="1:10" x14ac:dyDescent="0.3">
      <c r="A227" s="15" t="str">
        <f t="shared" si="3"/>
        <v/>
      </c>
      <c r="B227" s="16"/>
      <c r="C227" s="15" t="str">
        <f>IF($B227="","",IFERROR(INDEX(Jobs!$B$2:$B$501,MATCH($B227,Jobs!$A$2:$A$501,0)),""))</f>
        <v/>
      </c>
      <c r="D227" s="17"/>
      <c r="E227" s="18"/>
      <c r="F227" s="16"/>
      <c r="G227" s="16"/>
      <c r="H227" s="19" t="str">
        <f>IF($B227="","",IFERROR(INDEX(Jobs!$I$2:$I$501,MATCH($B227,Jobs!$A$2:$A$501,0)),""))</f>
        <v/>
      </c>
      <c r="I227" s="19" t="str">
        <f>IF($B227="","",IFERROR(INDEX(Jobs!$K$2:$K$501,MATCH($B227,Jobs!$A$2:$A$501,0)),""))</f>
        <v/>
      </c>
      <c r="J227" s="16"/>
    </row>
    <row r="228" spans="1:10" x14ac:dyDescent="0.3">
      <c r="A228" s="15" t="str">
        <f t="shared" si="3"/>
        <v/>
      </c>
      <c r="B228" s="16"/>
      <c r="C228" s="15" t="str">
        <f>IF($B228="","",IFERROR(INDEX(Jobs!$B$2:$B$501,MATCH($B228,Jobs!$A$2:$A$501,0)),""))</f>
        <v/>
      </c>
      <c r="D228" s="17"/>
      <c r="E228" s="18"/>
      <c r="F228" s="16"/>
      <c r="G228" s="16"/>
      <c r="H228" s="19" t="str">
        <f>IF($B228="","",IFERROR(INDEX(Jobs!$I$2:$I$501,MATCH($B228,Jobs!$A$2:$A$501,0)),""))</f>
        <v/>
      </c>
      <c r="I228" s="19" t="str">
        <f>IF($B228="","",IFERROR(INDEX(Jobs!$K$2:$K$501,MATCH($B228,Jobs!$A$2:$A$501,0)),""))</f>
        <v/>
      </c>
      <c r="J228" s="16"/>
    </row>
    <row r="229" spans="1:10" x14ac:dyDescent="0.3">
      <c r="A229" s="15" t="str">
        <f t="shared" si="3"/>
        <v/>
      </c>
      <c r="B229" s="16"/>
      <c r="C229" s="15" t="str">
        <f>IF($B229="","",IFERROR(INDEX(Jobs!$B$2:$B$501,MATCH($B229,Jobs!$A$2:$A$501,0)),""))</f>
        <v/>
      </c>
      <c r="D229" s="17"/>
      <c r="E229" s="18"/>
      <c r="F229" s="16"/>
      <c r="G229" s="16"/>
      <c r="H229" s="19" t="str">
        <f>IF($B229="","",IFERROR(INDEX(Jobs!$I$2:$I$501,MATCH($B229,Jobs!$A$2:$A$501,0)),""))</f>
        <v/>
      </c>
      <c r="I229" s="19" t="str">
        <f>IF($B229="","",IFERROR(INDEX(Jobs!$K$2:$K$501,MATCH($B229,Jobs!$A$2:$A$501,0)),""))</f>
        <v/>
      </c>
      <c r="J229" s="16"/>
    </row>
    <row r="230" spans="1:10" x14ac:dyDescent="0.3">
      <c r="A230" s="15" t="str">
        <f t="shared" si="3"/>
        <v/>
      </c>
      <c r="B230" s="16"/>
      <c r="C230" s="15" t="str">
        <f>IF($B230="","",IFERROR(INDEX(Jobs!$B$2:$B$501,MATCH($B230,Jobs!$A$2:$A$501,0)),""))</f>
        <v/>
      </c>
      <c r="D230" s="17"/>
      <c r="E230" s="18"/>
      <c r="F230" s="16"/>
      <c r="G230" s="16"/>
      <c r="H230" s="19" t="str">
        <f>IF($B230="","",IFERROR(INDEX(Jobs!$I$2:$I$501,MATCH($B230,Jobs!$A$2:$A$501,0)),""))</f>
        <v/>
      </c>
      <c r="I230" s="19" t="str">
        <f>IF($B230="","",IFERROR(INDEX(Jobs!$K$2:$K$501,MATCH($B230,Jobs!$A$2:$A$501,0)),""))</f>
        <v/>
      </c>
      <c r="J230" s="16"/>
    </row>
    <row r="231" spans="1:10" x14ac:dyDescent="0.3">
      <c r="A231" s="15" t="str">
        <f t="shared" si="3"/>
        <v/>
      </c>
      <c r="B231" s="16"/>
      <c r="C231" s="15" t="str">
        <f>IF($B231="","",IFERROR(INDEX(Jobs!$B$2:$B$501,MATCH($B231,Jobs!$A$2:$A$501,0)),""))</f>
        <v/>
      </c>
      <c r="D231" s="17"/>
      <c r="E231" s="18"/>
      <c r="F231" s="16"/>
      <c r="G231" s="16"/>
      <c r="H231" s="19" t="str">
        <f>IF($B231="","",IFERROR(INDEX(Jobs!$I$2:$I$501,MATCH($B231,Jobs!$A$2:$A$501,0)),""))</f>
        <v/>
      </c>
      <c r="I231" s="19" t="str">
        <f>IF($B231="","",IFERROR(INDEX(Jobs!$K$2:$K$501,MATCH($B231,Jobs!$A$2:$A$501,0)),""))</f>
        <v/>
      </c>
      <c r="J231" s="16"/>
    </row>
    <row r="232" spans="1:10" x14ac:dyDescent="0.3">
      <c r="A232" s="15" t="str">
        <f t="shared" si="3"/>
        <v/>
      </c>
      <c r="B232" s="16"/>
      <c r="C232" s="15" t="str">
        <f>IF($B232="","",IFERROR(INDEX(Jobs!$B$2:$B$501,MATCH($B232,Jobs!$A$2:$A$501,0)),""))</f>
        <v/>
      </c>
      <c r="D232" s="17"/>
      <c r="E232" s="18"/>
      <c r="F232" s="16"/>
      <c r="G232" s="16"/>
      <c r="H232" s="19" t="str">
        <f>IF($B232="","",IFERROR(INDEX(Jobs!$I$2:$I$501,MATCH($B232,Jobs!$A$2:$A$501,0)),""))</f>
        <v/>
      </c>
      <c r="I232" s="19" t="str">
        <f>IF($B232="","",IFERROR(INDEX(Jobs!$K$2:$K$501,MATCH($B232,Jobs!$A$2:$A$501,0)),""))</f>
        <v/>
      </c>
      <c r="J232" s="16"/>
    </row>
    <row r="233" spans="1:10" x14ac:dyDescent="0.3">
      <c r="A233" s="15" t="str">
        <f t="shared" si="3"/>
        <v/>
      </c>
      <c r="B233" s="16"/>
      <c r="C233" s="15" t="str">
        <f>IF($B233="","",IFERROR(INDEX(Jobs!$B$2:$B$501,MATCH($B233,Jobs!$A$2:$A$501,0)),""))</f>
        <v/>
      </c>
      <c r="D233" s="17"/>
      <c r="E233" s="18"/>
      <c r="F233" s="16"/>
      <c r="G233" s="16"/>
      <c r="H233" s="19" t="str">
        <f>IF($B233="","",IFERROR(INDEX(Jobs!$I$2:$I$501,MATCH($B233,Jobs!$A$2:$A$501,0)),""))</f>
        <v/>
      </c>
      <c r="I233" s="19" t="str">
        <f>IF($B233="","",IFERROR(INDEX(Jobs!$K$2:$K$501,MATCH($B233,Jobs!$A$2:$A$501,0)),""))</f>
        <v/>
      </c>
      <c r="J233" s="16"/>
    </row>
    <row r="234" spans="1:10" x14ac:dyDescent="0.3">
      <c r="A234" s="15" t="str">
        <f t="shared" si="3"/>
        <v/>
      </c>
      <c r="B234" s="16"/>
      <c r="C234" s="15" t="str">
        <f>IF($B234="","",IFERROR(INDEX(Jobs!$B$2:$B$501,MATCH($B234,Jobs!$A$2:$A$501,0)),""))</f>
        <v/>
      </c>
      <c r="D234" s="17"/>
      <c r="E234" s="18"/>
      <c r="F234" s="16"/>
      <c r="G234" s="16"/>
      <c r="H234" s="19" t="str">
        <f>IF($B234="","",IFERROR(INDEX(Jobs!$I$2:$I$501,MATCH($B234,Jobs!$A$2:$A$501,0)),""))</f>
        <v/>
      </c>
      <c r="I234" s="19" t="str">
        <f>IF($B234="","",IFERROR(INDEX(Jobs!$K$2:$K$501,MATCH($B234,Jobs!$A$2:$A$501,0)),""))</f>
        <v/>
      </c>
      <c r="J234" s="16"/>
    </row>
    <row r="235" spans="1:10" x14ac:dyDescent="0.3">
      <c r="A235" s="15" t="str">
        <f t="shared" si="3"/>
        <v/>
      </c>
      <c r="B235" s="16"/>
      <c r="C235" s="15" t="str">
        <f>IF($B235="","",IFERROR(INDEX(Jobs!$B$2:$B$501,MATCH($B235,Jobs!$A$2:$A$501,0)),""))</f>
        <v/>
      </c>
      <c r="D235" s="17"/>
      <c r="E235" s="18"/>
      <c r="F235" s="16"/>
      <c r="G235" s="16"/>
      <c r="H235" s="19" t="str">
        <f>IF($B235="","",IFERROR(INDEX(Jobs!$I$2:$I$501,MATCH($B235,Jobs!$A$2:$A$501,0)),""))</f>
        <v/>
      </c>
      <c r="I235" s="19" t="str">
        <f>IF($B235="","",IFERROR(INDEX(Jobs!$K$2:$K$501,MATCH($B235,Jobs!$A$2:$A$501,0)),""))</f>
        <v/>
      </c>
      <c r="J235" s="16"/>
    </row>
    <row r="236" spans="1:10" x14ac:dyDescent="0.3">
      <c r="A236" s="15" t="str">
        <f t="shared" si="3"/>
        <v/>
      </c>
      <c r="B236" s="16"/>
      <c r="C236" s="15" t="str">
        <f>IF($B236="","",IFERROR(INDEX(Jobs!$B$2:$B$501,MATCH($B236,Jobs!$A$2:$A$501,0)),""))</f>
        <v/>
      </c>
      <c r="D236" s="17"/>
      <c r="E236" s="18"/>
      <c r="F236" s="16"/>
      <c r="G236" s="16"/>
      <c r="H236" s="19" t="str">
        <f>IF($B236="","",IFERROR(INDEX(Jobs!$I$2:$I$501,MATCH($B236,Jobs!$A$2:$A$501,0)),""))</f>
        <v/>
      </c>
      <c r="I236" s="19" t="str">
        <f>IF($B236="","",IFERROR(INDEX(Jobs!$K$2:$K$501,MATCH($B236,Jobs!$A$2:$A$501,0)),""))</f>
        <v/>
      </c>
      <c r="J236" s="16"/>
    </row>
    <row r="237" spans="1:10" x14ac:dyDescent="0.3">
      <c r="A237" s="15" t="str">
        <f t="shared" si="3"/>
        <v/>
      </c>
      <c r="B237" s="16"/>
      <c r="C237" s="15" t="str">
        <f>IF($B237="","",IFERROR(INDEX(Jobs!$B$2:$B$501,MATCH($B237,Jobs!$A$2:$A$501,0)),""))</f>
        <v/>
      </c>
      <c r="D237" s="17"/>
      <c r="E237" s="18"/>
      <c r="F237" s="16"/>
      <c r="G237" s="16"/>
      <c r="H237" s="19" t="str">
        <f>IF($B237="","",IFERROR(INDEX(Jobs!$I$2:$I$501,MATCH($B237,Jobs!$A$2:$A$501,0)),""))</f>
        <v/>
      </c>
      <c r="I237" s="19" t="str">
        <f>IF($B237="","",IFERROR(INDEX(Jobs!$K$2:$K$501,MATCH($B237,Jobs!$A$2:$A$501,0)),""))</f>
        <v/>
      </c>
      <c r="J237" s="16"/>
    </row>
    <row r="238" spans="1:10" x14ac:dyDescent="0.3">
      <c r="A238" s="15" t="str">
        <f t="shared" si="3"/>
        <v/>
      </c>
      <c r="B238" s="16"/>
      <c r="C238" s="15" t="str">
        <f>IF($B238="","",IFERROR(INDEX(Jobs!$B$2:$B$501,MATCH($B238,Jobs!$A$2:$A$501,0)),""))</f>
        <v/>
      </c>
      <c r="D238" s="17"/>
      <c r="E238" s="18"/>
      <c r="F238" s="16"/>
      <c r="G238" s="16"/>
      <c r="H238" s="19" t="str">
        <f>IF($B238="","",IFERROR(INDEX(Jobs!$I$2:$I$501,MATCH($B238,Jobs!$A$2:$A$501,0)),""))</f>
        <v/>
      </c>
      <c r="I238" s="19" t="str">
        <f>IF($B238="","",IFERROR(INDEX(Jobs!$K$2:$K$501,MATCH($B238,Jobs!$A$2:$A$501,0)),""))</f>
        <v/>
      </c>
      <c r="J238" s="16"/>
    </row>
    <row r="239" spans="1:10" x14ac:dyDescent="0.3">
      <c r="A239" s="15" t="str">
        <f t="shared" si="3"/>
        <v/>
      </c>
      <c r="B239" s="16"/>
      <c r="C239" s="15" t="str">
        <f>IF($B239="","",IFERROR(INDEX(Jobs!$B$2:$B$501,MATCH($B239,Jobs!$A$2:$A$501,0)),""))</f>
        <v/>
      </c>
      <c r="D239" s="17"/>
      <c r="E239" s="18"/>
      <c r="F239" s="16"/>
      <c r="G239" s="16"/>
      <c r="H239" s="19" t="str">
        <f>IF($B239="","",IFERROR(INDEX(Jobs!$I$2:$I$501,MATCH($B239,Jobs!$A$2:$A$501,0)),""))</f>
        <v/>
      </c>
      <c r="I239" s="19" t="str">
        <f>IF($B239="","",IFERROR(INDEX(Jobs!$K$2:$K$501,MATCH($B239,Jobs!$A$2:$A$501,0)),""))</f>
        <v/>
      </c>
      <c r="J239" s="16"/>
    </row>
    <row r="240" spans="1:10" x14ac:dyDescent="0.3">
      <c r="A240" s="15" t="str">
        <f t="shared" si="3"/>
        <v/>
      </c>
      <c r="B240" s="16"/>
      <c r="C240" s="15" t="str">
        <f>IF($B240="","",IFERROR(INDEX(Jobs!$B$2:$B$501,MATCH($B240,Jobs!$A$2:$A$501,0)),""))</f>
        <v/>
      </c>
      <c r="D240" s="17"/>
      <c r="E240" s="18"/>
      <c r="F240" s="16"/>
      <c r="G240" s="16"/>
      <c r="H240" s="19" t="str">
        <f>IF($B240="","",IFERROR(INDEX(Jobs!$I$2:$I$501,MATCH($B240,Jobs!$A$2:$A$501,0)),""))</f>
        <v/>
      </c>
      <c r="I240" s="19" t="str">
        <f>IF($B240="","",IFERROR(INDEX(Jobs!$K$2:$K$501,MATCH($B240,Jobs!$A$2:$A$501,0)),""))</f>
        <v/>
      </c>
      <c r="J240" s="16"/>
    </row>
    <row r="241" spans="1:10" x14ac:dyDescent="0.3">
      <c r="A241" s="15" t="str">
        <f t="shared" si="3"/>
        <v/>
      </c>
      <c r="B241" s="16"/>
      <c r="C241" s="15" t="str">
        <f>IF($B241="","",IFERROR(INDEX(Jobs!$B$2:$B$501,MATCH($B241,Jobs!$A$2:$A$501,0)),""))</f>
        <v/>
      </c>
      <c r="D241" s="17"/>
      <c r="E241" s="18"/>
      <c r="F241" s="16"/>
      <c r="G241" s="16"/>
      <c r="H241" s="19" t="str">
        <f>IF($B241="","",IFERROR(INDEX(Jobs!$I$2:$I$501,MATCH($B241,Jobs!$A$2:$A$501,0)),""))</f>
        <v/>
      </c>
      <c r="I241" s="19" t="str">
        <f>IF($B241="","",IFERROR(INDEX(Jobs!$K$2:$K$501,MATCH($B241,Jobs!$A$2:$A$501,0)),""))</f>
        <v/>
      </c>
      <c r="J241" s="16"/>
    </row>
    <row r="242" spans="1:10" x14ac:dyDescent="0.3">
      <c r="A242" s="15" t="str">
        <f t="shared" si="3"/>
        <v/>
      </c>
      <c r="B242" s="16"/>
      <c r="C242" s="15" t="str">
        <f>IF($B242="","",IFERROR(INDEX(Jobs!$B$2:$B$501,MATCH($B242,Jobs!$A$2:$A$501,0)),""))</f>
        <v/>
      </c>
      <c r="D242" s="17"/>
      <c r="E242" s="18"/>
      <c r="F242" s="16"/>
      <c r="G242" s="16"/>
      <c r="H242" s="19" t="str">
        <f>IF($B242="","",IFERROR(INDEX(Jobs!$I$2:$I$501,MATCH($B242,Jobs!$A$2:$A$501,0)),""))</f>
        <v/>
      </c>
      <c r="I242" s="19" t="str">
        <f>IF($B242="","",IFERROR(INDEX(Jobs!$K$2:$K$501,MATCH($B242,Jobs!$A$2:$A$501,0)),""))</f>
        <v/>
      </c>
      <c r="J242" s="16"/>
    </row>
    <row r="243" spans="1:10" x14ac:dyDescent="0.3">
      <c r="A243" s="15" t="str">
        <f t="shared" si="3"/>
        <v/>
      </c>
      <c r="B243" s="16"/>
      <c r="C243" s="15" t="str">
        <f>IF($B243="","",IFERROR(INDEX(Jobs!$B$2:$B$501,MATCH($B243,Jobs!$A$2:$A$501,0)),""))</f>
        <v/>
      </c>
      <c r="D243" s="17"/>
      <c r="E243" s="18"/>
      <c r="F243" s="16"/>
      <c r="G243" s="16"/>
      <c r="H243" s="19" t="str">
        <f>IF($B243="","",IFERROR(INDEX(Jobs!$I$2:$I$501,MATCH($B243,Jobs!$A$2:$A$501,0)),""))</f>
        <v/>
      </c>
      <c r="I243" s="19" t="str">
        <f>IF($B243="","",IFERROR(INDEX(Jobs!$K$2:$K$501,MATCH($B243,Jobs!$A$2:$A$501,0)),""))</f>
        <v/>
      </c>
      <c r="J243" s="16"/>
    </row>
    <row r="244" spans="1:10" x14ac:dyDescent="0.3">
      <c r="A244" s="15" t="str">
        <f t="shared" si="3"/>
        <v/>
      </c>
      <c r="B244" s="16"/>
      <c r="C244" s="15" t="str">
        <f>IF($B244="","",IFERROR(INDEX(Jobs!$B$2:$B$501,MATCH($B244,Jobs!$A$2:$A$501,0)),""))</f>
        <v/>
      </c>
      <c r="D244" s="17"/>
      <c r="E244" s="18"/>
      <c r="F244" s="16"/>
      <c r="G244" s="16"/>
      <c r="H244" s="19" t="str">
        <f>IF($B244="","",IFERROR(INDEX(Jobs!$I$2:$I$501,MATCH($B244,Jobs!$A$2:$A$501,0)),""))</f>
        <v/>
      </c>
      <c r="I244" s="19" t="str">
        <f>IF($B244="","",IFERROR(INDEX(Jobs!$K$2:$K$501,MATCH($B244,Jobs!$A$2:$A$501,0)),""))</f>
        <v/>
      </c>
      <c r="J244" s="16"/>
    </row>
    <row r="245" spans="1:10" x14ac:dyDescent="0.3">
      <c r="A245" s="15" t="str">
        <f t="shared" si="3"/>
        <v/>
      </c>
      <c r="B245" s="16"/>
      <c r="C245" s="15" t="str">
        <f>IF($B245="","",IFERROR(INDEX(Jobs!$B$2:$B$501,MATCH($B245,Jobs!$A$2:$A$501,0)),""))</f>
        <v/>
      </c>
      <c r="D245" s="17"/>
      <c r="E245" s="18"/>
      <c r="F245" s="16"/>
      <c r="G245" s="16"/>
      <c r="H245" s="19" t="str">
        <f>IF($B245="","",IFERROR(INDEX(Jobs!$I$2:$I$501,MATCH($B245,Jobs!$A$2:$A$501,0)),""))</f>
        <v/>
      </c>
      <c r="I245" s="19" t="str">
        <f>IF($B245="","",IFERROR(INDEX(Jobs!$K$2:$K$501,MATCH($B245,Jobs!$A$2:$A$501,0)),""))</f>
        <v/>
      </c>
      <c r="J245" s="16"/>
    </row>
    <row r="246" spans="1:10" x14ac:dyDescent="0.3">
      <c r="A246" s="15" t="str">
        <f t="shared" si="3"/>
        <v/>
      </c>
      <c r="B246" s="16"/>
      <c r="C246" s="15" t="str">
        <f>IF($B246="","",IFERROR(INDEX(Jobs!$B$2:$B$501,MATCH($B246,Jobs!$A$2:$A$501,0)),""))</f>
        <v/>
      </c>
      <c r="D246" s="17"/>
      <c r="E246" s="18"/>
      <c r="F246" s="16"/>
      <c r="G246" s="16"/>
      <c r="H246" s="19" t="str">
        <f>IF($B246="","",IFERROR(INDEX(Jobs!$I$2:$I$501,MATCH($B246,Jobs!$A$2:$A$501,0)),""))</f>
        <v/>
      </c>
      <c r="I246" s="19" t="str">
        <f>IF($B246="","",IFERROR(INDEX(Jobs!$K$2:$K$501,MATCH($B246,Jobs!$A$2:$A$501,0)),""))</f>
        <v/>
      </c>
      <c r="J246" s="16"/>
    </row>
    <row r="247" spans="1:10" x14ac:dyDescent="0.3">
      <c r="A247" s="15" t="str">
        <f t="shared" si="3"/>
        <v/>
      </c>
      <c r="B247" s="16"/>
      <c r="C247" s="15" t="str">
        <f>IF($B247="","",IFERROR(INDEX(Jobs!$B$2:$B$501,MATCH($B247,Jobs!$A$2:$A$501,0)),""))</f>
        <v/>
      </c>
      <c r="D247" s="17"/>
      <c r="E247" s="18"/>
      <c r="F247" s="16"/>
      <c r="G247" s="16"/>
      <c r="H247" s="19" t="str">
        <f>IF($B247="","",IFERROR(INDEX(Jobs!$I$2:$I$501,MATCH($B247,Jobs!$A$2:$A$501,0)),""))</f>
        <v/>
      </c>
      <c r="I247" s="19" t="str">
        <f>IF($B247="","",IFERROR(INDEX(Jobs!$K$2:$K$501,MATCH($B247,Jobs!$A$2:$A$501,0)),""))</f>
        <v/>
      </c>
      <c r="J247" s="16"/>
    </row>
    <row r="248" spans="1:10" x14ac:dyDescent="0.3">
      <c r="A248" s="15" t="str">
        <f t="shared" si="3"/>
        <v/>
      </c>
      <c r="B248" s="16"/>
      <c r="C248" s="15" t="str">
        <f>IF($B248="","",IFERROR(INDEX(Jobs!$B$2:$B$501,MATCH($B248,Jobs!$A$2:$A$501,0)),""))</f>
        <v/>
      </c>
      <c r="D248" s="17"/>
      <c r="E248" s="18"/>
      <c r="F248" s="16"/>
      <c r="G248" s="16"/>
      <c r="H248" s="19" t="str">
        <f>IF($B248="","",IFERROR(INDEX(Jobs!$I$2:$I$501,MATCH($B248,Jobs!$A$2:$A$501,0)),""))</f>
        <v/>
      </c>
      <c r="I248" s="19" t="str">
        <f>IF($B248="","",IFERROR(INDEX(Jobs!$K$2:$K$501,MATCH($B248,Jobs!$A$2:$A$501,0)),""))</f>
        <v/>
      </c>
      <c r="J248" s="16"/>
    </row>
    <row r="249" spans="1:10" x14ac:dyDescent="0.3">
      <c r="A249" s="15" t="str">
        <f t="shared" si="3"/>
        <v/>
      </c>
      <c r="B249" s="16"/>
      <c r="C249" s="15" t="str">
        <f>IF($B249="","",IFERROR(INDEX(Jobs!$B$2:$B$501,MATCH($B249,Jobs!$A$2:$A$501,0)),""))</f>
        <v/>
      </c>
      <c r="D249" s="17"/>
      <c r="E249" s="18"/>
      <c r="F249" s="16"/>
      <c r="G249" s="16"/>
      <c r="H249" s="19" t="str">
        <f>IF($B249="","",IFERROR(INDEX(Jobs!$I$2:$I$501,MATCH($B249,Jobs!$A$2:$A$501,0)),""))</f>
        <v/>
      </c>
      <c r="I249" s="19" t="str">
        <f>IF($B249="","",IFERROR(INDEX(Jobs!$K$2:$K$501,MATCH($B249,Jobs!$A$2:$A$501,0)),""))</f>
        <v/>
      </c>
      <c r="J249" s="16"/>
    </row>
    <row r="250" spans="1:10" x14ac:dyDescent="0.3">
      <c r="A250" s="15" t="str">
        <f t="shared" si="3"/>
        <v/>
      </c>
      <c r="B250" s="16"/>
      <c r="C250" s="15" t="str">
        <f>IF($B250="","",IFERROR(INDEX(Jobs!$B$2:$B$501,MATCH($B250,Jobs!$A$2:$A$501,0)),""))</f>
        <v/>
      </c>
      <c r="D250" s="17"/>
      <c r="E250" s="18"/>
      <c r="F250" s="16"/>
      <c r="G250" s="16"/>
      <c r="H250" s="19" t="str">
        <f>IF($B250="","",IFERROR(INDEX(Jobs!$I$2:$I$501,MATCH($B250,Jobs!$A$2:$A$501,0)),""))</f>
        <v/>
      </c>
      <c r="I250" s="19" t="str">
        <f>IF($B250="","",IFERROR(INDEX(Jobs!$K$2:$K$501,MATCH($B250,Jobs!$A$2:$A$501,0)),""))</f>
        <v/>
      </c>
      <c r="J250" s="16"/>
    </row>
    <row r="251" spans="1:10" x14ac:dyDescent="0.3">
      <c r="A251" s="15" t="str">
        <f t="shared" si="3"/>
        <v/>
      </c>
      <c r="B251" s="16"/>
      <c r="C251" s="15" t="str">
        <f>IF($B251="","",IFERROR(INDEX(Jobs!$B$2:$B$501,MATCH($B251,Jobs!$A$2:$A$501,0)),""))</f>
        <v/>
      </c>
      <c r="D251" s="17"/>
      <c r="E251" s="18"/>
      <c r="F251" s="16"/>
      <c r="G251" s="16"/>
      <c r="H251" s="19" t="str">
        <f>IF($B251="","",IFERROR(INDEX(Jobs!$I$2:$I$501,MATCH($B251,Jobs!$A$2:$A$501,0)),""))</f>
        <v/>
      </c>
      <c r="I251" s="19" t="str">
        <f>IF($B251="","",IFERROR(INDEX(Jobs!$K$2:$K$501,MATCH($B251,Jobs!$A$2:$A$501,0)),""))</f>
        <v/>
      </c>
      <c r="J251" s="16"/>
    </row>
    <row r="252" spans="1:10" x14ac:dyDescent="0.3">
      <c r="A252" s="15" t="str">
        <f t="shared" si="3"/>
        <v/>
      </c>
      <c r="B252" s="16"/>
      <c r="C252" s="15" t="str">
        <f>IF($B252="","",IFERROR(INDEX(Jobs!$B$2:$B$501,MATCH($B252,Jobs!$A$2:$A$501,0)),""))</f>
        <v/>
      </c>
      <c r="D252" s="17"/>
      <c r="E252" s="18"/>
      <c r="F252" s="16"/>
      <c r="G252" s="16"/>
      <c r="H252" s="19" t="str">
        <f>IF($B252="","",IFERROR(INDEX(Jobs!$I$2:$I$501,MATCH($B252,Jobs!$A$2:$A$501,0)),""))</f>
        <v/>
      </c>
      <c r="I252" s="19" t="str">
        <f>IF($B252="","",IFERROR(INDEX(Jobs!$K$2:$K$501,MATCH($B252,Jobs!$A$2:$A$501,0)),""))</f>
        <v/>
      </c>
      <c r="J252" s="16"/>
    </row>
    <row r="253" spans="1:10" x14ac:dyDescent="0.3">
      <c r="A253" s="15" t="str">
        <f t="shared" si="3"/>
        <v/>
      </c>
      <c r="B253" s="16"/>
      <c r="C253" s="15" t="str">
        <f>IF($B253="","",IFERROR(INDEX(Jobs!$B$2:$B$501,MATCH($B253,Jobs!$A$2:$A$501,0)),""))</f>
        <v/>
      </c>
      <c r="D253" s="17"/>
      <c r="E253" s="18"/>
      <c r="F253" s="16"/>
      <c r="G253" s="16"/>
      <c r="H253" s="19" t="str">
        <f>IF($B253="","",IFERROR(INDEX(Jobs!$I$2:$I$501,MATCH($B253,Jobs!$A$2:$A$501,0)),""))</f>
        <v/>
      </c>
      <c r="I253" s="19" t="str">
        <f>IF($B253="","",IFERROR(INDEX(Jobs!$K$2:$K$501,MATCH($B253,Jobs!$A$2:$A$501,0)),""))</f>
        <v/>
      </c>
      <c r="J253" s="16"/>
    </row>
    <row r="254" spans="1:10" x14ac:dyDescent="0.3">
      <c r="A254" s="15" t="str">
        <f t="shared" si="3"/>
        <v/>
      </c>
      <c r="B254" s="16"/>
      <c r="C254" s="15" t="str">
        <f>IF($B254="","",IFERROR(INDEX(Jobs!$B$2:$B$501,MATCH($B254,Jobs!$A$2:$A$501,0)),""))</f>
        <v/>
      </c>
      <c r="D254" s="17"/>
      <c r="E254" s="18"/>
      <c r="F254" s="16"/>
      <c r="G254" s="16"/>
      <c r="H254" s="19" t="str">
        <f>IF($B254="","",IFERROR(INDEX(Jobs!$I$2:$I$501,MATCH($B254,Jobs!$A$2:$A$501,0)),""))</f>
        <v/>
      </c>
      <c r="I254" s="19" t="str">
        <f>IF($B254="","",IFERROR(INDEX(Jobs!$K$2:$K$501,MATCH($B254,Jobs!$A$2:$A$501,0)),""))</f>
        <v/>
      </c>
      <c r="J254" s="16"/>
    </row>
    <row r="255" spans="1:10" x14ac:dyDescent="0.3">
      <c r="A255" s="15" t="str">
        <f t="shared" si="3"/>
        <v/>
      </c>
      <c r="B255" s="16"/>
      <c r="C255" s="15" t="str">
        <f>IF($B255="","",IFERROR(INDEX(Jobs!$B$2:$B$501,MATCH($B255,Jobs!$A$2:$A$501,0)),""))</f>
        <v/>
      </c>
      <c r="D255" s="17"/>
      <c r="E255" s="18"/>
      <c r="F255" s="16"/>
      <c r="G255" s="16"/>
      <c r="H255" s="19" t="str">
        <f>IF($B255="","",IFERROR(INDEX(Jobs!$I$2:$I$501,MATCH($B255,Jobs!$A$2:$A$501,0)),""))</f>
        <v/>
      </c>
      <c r="I255" s="19" t="str">
        <f>IF($B255="","",IFERROR(INDEX(Jobs!$K$2:$K$501,MATCH($B255,Jobs!$A$2:$A$501,0)),""))</f>
        <v/>
      </c>
      <c r="J255" s="16"/>
    </row>
    <row r="256" spans="1:10" x14ac:dyDescent="0.3">
      <c r="A256" s="15" t="str">
        <f t="shared" si="3"/>
        <v/>
      </c>
      <c r="B256" s="16"/>
      <c r="C256" s="15" t="str">
        <f>IF($B256="","",IFERROR(INDEX(Jobs!$B$2:$B$501,MATCH($B256,Jobs!$A$2:$A$501,0)),""))</f>
        <v/>
      </c>
      <c r="D256" s="17"/>
      <c r="E256" s="18"/>
      <c r="F256" s="16"/>
      <c r="G256" s="16"/>
      <c r="H256" s="19" t="str">
        <f>IF($B256="","",IFERROR(INDEX(Jobs!$I$2:$I$501,MATCH($B256,Jobs!$A$2:$A$501,0)),""))</f>
        <v/>
      </c>
      <c r="I256" s="19" t="str">
        <f>IF($B256="","",IFERROR(INDEX(Jobs!$K$2:$K$501,MATCH($B256,Jobs!$A$2:$A$501,0)),""))</f>
        <v/>
      </c>
      <c r="J256" s="16"/>
    </row>
    <row r="257" spans="1:10" x14ac:dyDescent="0.3">
      <c r="A257" s="15" t="str">
        <f t="shared" si="3"/>
        <v/>
      </c>
      <c r="B257" s="16"/>
      <c r="C257" s="15" t="str">
        <f>IF($B257="","",IFERROR(INDEX(Jobs!$B$2:$B$501,MATCH($B257,Jobs!$A$2:$A$501,0)),""))</f>
        <v/>
      </c>
      <c r="D257" s="17"/>
      <c r="E257" s="18"/>
      <c r="F257" s="16"/>
      <c r="G257" s="16"/>
      <c r="H257" s="19" t="str">
        <f>IF($B257="","",IFERROR(INDEX(Jobs!$I$2:$I$501,MATCH($B257,Jobs!$A$2:$A$501,0)),""))</f>
        <v/>
      </c>
      <c r="I257" s="19" t="str">
        <f>IF($B257="","",IFERROR(INDEX(Jobs!$K$2:$K$501,MATCH($B257,Jobs!$A$2:$A$501,0)),""))</f>
        <v/>
      </c>
      <c r="J257" s="16"/>
    </row>
    <row r="258" spans="1:10" x14ac:dyDescent="0.3">
      <c r="A258" s="15" t="str">
        <f t="shared" ref="A258:A321" si="4">IF(B258="","","PAY-"&amp;TEXT(ROW()-1,"0000"))</f>
        <v/>
      </c>
      <c r="B258" s="16"/>
      <c r="C258" s="15" t="str">
        <f>IF($B258="","",IFERROR(INDEX(Jobs!$B$2:$B$501,MATCH($B258,Jobs!$A$2:$A$501,0)),""))</f>
        <v/>
      </c>
      <c r="D258" s="17"/>
      <c r="E258" s="18"/>
      <c r="F258" s="16"/>
      <c r="G258" s="16"/>
      <c r="H258" s="19" t="str">
        <f>IF($B258="","",IFERROR(INDEX(Jobs!$I$2:$I$501,MATCH($B258,Jobs!$A$2:$A$501,0)),""))</f>
        <v/>
      </c>
      <c r="I258" s="19" t="str">
        <f>IF($B258="","",IFERROR(INDEX(Jobs!$K$2:$K$501,MATCH($B258,Jobs!$A$2:$A$501,0)),""))</f>
        <v/>
      </c>
      <c r="J258" s="16"/>
    </row>
    <row r="259" spans="1:10" x14ac:dyDescent="0.3">
      <c r="A259" s="15" t="str">
        <f t="shared" si="4"/>
        <v/>
      </c>
      <c r="B259" s="16"/>
      <c r="C259" s="15" t="str">
        <f>IF($B259="","",IFERROR(INDEX(Jobs!$B$2:$B$501,MATCH($B259,Jobs!$A$2:$A$501,0)),""))</f>
        <v/>
      </c>
      <c r="D259" s="17"/>
      <c r="E259" s="18"/>
      <c r="F259" s="16"/>
      <c r="G259" s="16"/>
      <c r="H259" s="19" t="str">
        <f>IF($B259="","",IFERROR(INDEX(Jobs!$I$2:$I$501,MATCH($B259,Jobs!$A$2:$A$501,0)),""))</f>
        <v/>
      </c>
      <c r="I259" s="19" t="str">
        <f>IF($B259="","",IFERROR(INDEX(Jobs!$K$2:$K$501,MATCH($B259,Jobs!$A$2:$A$501,0)),""))</f>
        <v/>
      </c>
      <c r="J259" s="16"/>
    </row>
    <row r="260" spans="1:10" x14ac:dyDescent="0.3">
      <c r="A260" s="15" t="str">
        <f t="shared" si="4"/>
        <v/>
      </c>
      <c r="B260" s="16"/>
      <c r="C260" s="15" t="str">
        <f>IF($B260="","",IFERROR(INDEX(Jobs!$B$2:$B$501,MATCH($B260,Jobs!$A$2:$A$501,0)),""))</f>
        <v/>
      </c>
      <c r="D260" s="17"/>
      <c r="E260" s="18"/>
      <c r="F260" s="16"/>
      <c r="G260" s="16"/>
      <c r="H260" s="19" t="str">
        <f>IF($B260="","",IFERROR(INDEX(Jobs!$I$2:$I$501,MATCH($B260,Jobs!$A$2:$A$501,0)),""))</f>
        <v/>
      </c>
      <c r="I260" s="19" t="str">
        <f>IF($B260="","",IFERROR(INDEX(Jobs!$K$2:$K$501,MATCH($B260,Jobs!$A$2:$A$501,0)),""))</f>
        <v/>
      </c>
      <c r="J260" s="16"/>
    </row>
    <row r="261" spans="1:10" x14ac:dyDescent="0.3">
      <c r="A261" s="15" t="str">
        <f t="shared" si="4"/>
        <v/>
      </c>
      <c r="B261" s="16"/>
      <c r="C261" s="15" t="str">
        <f>IF($B261="","",IFERROR(INDEX(Jobs!$B$2:$B$501,MATCH($B261,Jobs!$A$2:$A$501,0)),""))</f>
        <v/>
      </c>
      <c r="D261" s="17"/>
      <c r="E261" s="18"/>
      <c r="F261" s="16"/>
      <c r="G261" s="16"/>
      <c r="H261" s="19" t="str">
        <f>IF($B261="","",IFERROR(INDEX(Jobs!$I$2:$I$501,MATCH($B261,Jobs!$A$2:$A$501,0)),""))</f>
        <v/>
      </c>
      <c r="I261" s="19" t="str">
        <f>IF($B261="","",IFERROR(INDEX(Jobs!$K$2:$K$501,MATCH($B261,Jobs!$A$2:$A$501,0)),""))</f>
        <v/>
      </c>
      <c r="J261" s="16"/>
    </row>
    <row r="262" spans="1:10" x14ac:dyDescent="0.3">
      <c r="A262" s="15" t="str">
        <f t="shared" si="4"/>
        <v/>
      </c>
      <c r="B262" s="16"/>
      <c r="C262" s="15" t="str">
        <f>IF($B262="","",IFERROR(INDEX(Jobs!$B$2:$B$501,MATCH($B262,Jobs!$A$2:$A$501,0)),""))</f>
        <v/>
      </c>
      <c r="D262" s="17"/>
      <c r="E262" s="18"/>
      <c r="F262" s="16"/>
      <c r="G262" s="16"/>
      <c r="H262" s="19" t="str">
        <f>IF($B262="","",IFERROR(INDEX(Jobs!$I$2:$I$501,MATCH($B262,Jobs!$A$2:$A$501,0)),""))</f>
        <v/>
      </c>
      <c r="I262" s="19" t="str">
        <f>IF($B262="","",IFERROR(INDEX(Jobs!$K$2:$K$501,MATCH($B262,Jobs!$A$2:$A$501,0)),""))</f>
        <v/>
      </c>
      <c r="J262" s="16"/>
    </row>
    <row r="263" spans="1:10" x14ac:dyDescent="0.3">
      <c r="A263" s="15" t="str">
        <f t="shared" si="4"/>
        <v/>
      </c>
      <c r="B263" s="16"/>
      <c r="C263" s="15" t="str">
        <f>IF($B263="","",IFERROR(INDEX(Jobs!$B$2:$B$501,MATCH($B263,Jobs!$A$2:$A$501,0)),""))</f>
        <v/>
      </c>
      <c r="D263" s="17"/>
      <c r="E263" s="18"/>
      <c r="F263" s="16"/>
      <c r="G263" s="16"/>
      <c r="H263" s="19" t="str">
        <f>IF($B263="","",IFERROR(INDEX(Jobs!$I$2:$I$501,MATCH($B263,Jobs!$A$2:$A$501,0)),""))</f>
        <v/>
      </c>
      <c r="I263" s="19" t="str">
        <f>IF($B263="","",IFERROR(INDEX(Jobs!$K$2:$K$501,MATCH($B263,Jobs!$A$2:$A$501,0)),""))</f>
        <v/>
      </c>
      <c r="J263" s="16"/>
    </row>
    <row r="264" spans="1:10" x14ac:dyDescent="0.3">
      <c r="A264" s="15" t="str">
        <f t="shared" si="4"/>
        <v/>
      </c>
      <c r="B264" s="16"/>
      <c r="C264" s="15" t="str">
        <f>IF($B264="","",IFERROR(INDEX(Jobs!$B$2:$B$501,MATCH($B264,Jobs!$A$2:$A$501,0)),""))</f>
        <v/>
      </c>
      <c r="D264" s="17"/>
      <c r="E264" s="18"/>
      <c r="F264" s="16"/>
      <c r="G264" s="16"/>
      <c r="H264" s="19" t="str">
        <f>IF($B264="","",IFERROR(INDEX(Jobs!$I$2:$I$501,MATCH($B264,Jobs!$A$2:$A$501,0)),""))</f>
        <v/>
      </c>
      <c r="I264" s="19" t="str">
        <f>IF($B264="","",IFERROR(INDEX(Jobs!$K$2:$K$501,MATCH($B264,Jobs!$A$2:$A$501,0)),""))</f>
        <v/>
      </c>
      <c r="J264" s="16"/>
    </row>
    <row r="265" spans="1:10" x14ac:dyDescent="0.3">
      <c r="A265" s="15" t="str">
        <f t="shared" si="4"/>
        <v/>
      </c>
      <c r="B265" s="16"/>
      <c r="C265" s="15" t="str">
        <f>IF($B265="","",IFERROR(INDEX(Jobs!$B$2:$B$501,MATCH($B265,Jobs!$A$2:$A$501,0)),""))</f>
        <v/>
      </c>
      <c r="D265" s="17"/>
      <c r="E265" s="18"/>
      <c r="F265" s="16"/>
      <c r="G265" s="16"/>
      <c r="H265" s="19" t="str">
        <f>IF($B265="","",IFERROR(INDEX(Jobs!$I$2:$I$501,MATCH($B265,Jobs!$A$2:$A$501,0)),""))</f>
        <v/>
      </c>
      <c r="I265" s="19" t="str">
        <f>IF($B265="","",IFERROR(INDEX(Jobs!$K$2:$K$501,MATCH($B265,Jobs!$A$2:$A$501,0)),""))</f>
        <v/>
      </c>
      <c r="J265" s="16"/>
    </row>
    <row r="266" spans="1:10" x14ac:dyDescent="0.3">
      <c r="A266" s="15" t="str">
        <f t="shared" si="4"/>
        <v/>
      </c>
      <c r="B266" s="16"/>
      <c r="C266" s="15" t="str">
        <f>IF($B266="","",IFERROR(INDEX(Jobs!$B$2:$B$501,MATCH($B266,Jobs!$A$2:$A$501,0)),""))</f>
        <v/>
      </c>
      <c r="D266" s="17"/>
      <c r="E266" s="18"/>
      <c r="F266" s="16"/>
      <c r="G266" s="16"/>
      <c r="H266" s="19" t="str">
        <f>IF($B266="","",IFERROR(INDEX(Jobs!$I$2:$I$501,MATCH($B266,Jobs!$A$2:$A$501,0)),""))</f>
        <v/>
      </c>
      <c r="I266" s="19" t="str">
        <f>IF($B266="","",IFERROR(INDEX(Jobs!$K$2:$K$501,MATCH($B266,Jobs!$A$2:$A$501,0)),""))</f>
        <v/>
      </c>
      <c r="J266" s="16"/>
    </row>
    <row r="267" spans="1:10" x14ac:dyDescent="0.3">
      <c r="A267" s="15" t="str">
        <f t="shared" si="4"/>
        <v/>
      </c>
      <c r="B267" s="16"/>
      <c r="C267" s="15" t="str">
        <f>IF($B267="","",IFERROR(INDEX(Jobs!$B$2:$B$501,MATCH($B267,Jobs!$A$2:$A$501,0)),""))</f>
        <v/>
      </c>
      <c r="D267" s="17"/>
      <c r="E267" s="18"/>
      <c r="F267" s="16"/>
      <c r="G267" s="16"/>
      <c r="H267" s="19" t="str">
        <f>IF($B267="","",IFERROR(INDEX(Jobs!$I$2:$I$501,MATCH($B267,Jobs!$A$2:$A$501,0)),""))</f>
        <v/>
      </c>
      <c r="I267" s="19" t="str">
        <f>IF($B267="","",IFERROR(INDEX(Jobs!$K$2:$K$501,MATCH($B267,Jobs!$A$2:$A$501,0)),""))</f>
        <v/>
      </c>
      <c r="J267" s="16"/>
    </row>
    <row r="268" spans="1:10" x14ac:dyDescent="0.3">
      <c r="A268" s="15" t="str">
        <f t="shared" si="4"/>
        <v/>
      </c>
      <c r="B268" s="16"/>
      <c r="C268" s="15" t="str">
        <f>IF($B268="","",IFERROR(INDEX(Jobs!$B$2:$B$501,MATCH($B268,Jobs!$A$2:$A$501,0)),""))</f>
        <v/>
      </c>
      <c r="D268" s="17"/>
      <c r="E268" s="18"/>
      <c r="F268" s="16"/>
      <c r="G268" s="16"/>
      <c r="H268" s="19" t="str">
        <f>IF($B268="","",IFERROR(INDEX(Jobs!$I$2:$I$501,MATCH($B268,Jobs!$A$2:$A$501,0)),""))</f>
        <v/>
      </c>
      <c r="I268" s="19" t="str">
        <f>IF($B268="","",IFERROR(INDEX(Jobs!$K$2:$K$501,MATCH($B268,Jobs!$A$2:$A$501,0)),""))</f>
        <v/>
      </c>
      <c r="J268" s="16"/>
    </row>
    <row r="269" spans="1:10" x14ac:dyDescent="0.3">
      <c r="A269" s="15" t="str">
        <f t="shared" si="4"/>
        <v/>
      </c>
      <c r="B269" s="16"/>
      <c r="C269" s="15" t="str">
        <f>IF($B269="","",IFERROR(INDEX(Jobs!$B$2:$B$501,MATCH($B269,Jobs!$A$2:$A$501,0)),""))</f>
        <v/>
      </c>
      <c r="D269" s="17"/>
      <c r="E269" s="18"/>
      <c r="F269" s="16"/>
      <c r="G269" s="16"/>
      <c r="H269" s="19" t="str">
        <f>IF($B269="","",IFERROR(INDEX(Jobs!$I$2:$I$501,MATCH($B269,Jobs!$A$2:$A$501,0)),""))</f>
        <v/>
      </c>
      <c r="I269" s="19" t="str">
        <f>IF($B269="","",IFERROR(INDEX(Jobs!$K$2:$K$501,MATCH($B269,Jobs!$A$2:$A$501,0)),""))</f>
        <v/>
      </c>
      <c r="J269" s="16"/>
    </row>
    <row r="270" spans="1:10" x14ac:dyDescent="0.3">
      <c r="A270" s="15" t="str">
        <f t="shared" si="4"/>
        <v/>
      </c>
      <c r="B270" s="16"/>
      <c r="C270" s="15" t="str">
        <f>IF($B270="","",IFERROR(INDEX(Jobs!$B$2:$B$501,MATCH($B270,Jobs!$A$2:$A$501,0)),""))</f>
        <v/>
      </c>
      <c r="D270" s="17"/>
      <c r="E270" s="18"/>
      <c r="F270" s="16"/>
      <c r="G270" s="16"/>
      <c r="H270" s="19" t="str">
        <f>IF($B270="","",IFERROR(INDEX(Jobs!$I$2:$I$501,MATCH($B270,Jobs!$A$2:$A$501,0)),""))</f>
        <v/>
      </c>
      <c r="I270" s="19" t="str">
        <f>IF($B270="","",IFERROR(INDEX(Jobs!$K$2:$K$501,MATCH($B270,Jobs!$A$2:$A$501,0)),""))</f>
        <v/>
      </c>
      <c r="J270" s="16"/>
    </row>
    <row r="271" spans="1:10" x14ac:dyDescent="0.3">
      <c r="A271" s="15" t="str">
        <f t="shared" si="4"/>
        <v/>
      </c>
      <c r="B271" s="16"/>
      <c r="C271" s="15" t="str">
        <f>IF($B271="","",IFERROR(INDEX(Jobs!$B$2:$B$501,MATCH($B271,Jobs!$A$2:$A$501,0)),""))</f>
        <v/>
      </c>
      <c r="D271" s="17"/>
      <c r="E271" s="18"/>
      <c r="F271" s="16"/>
      <c r="G271" s="16"/>
      <c r="H271" s="19" t="str">
        <f>IF($B271="","",IFERROR(INDEX(Jobs!$I$2:$I$501,MATCH($B271,Jobs!$A$2:$A$501,0)),""))</f>
        <v/>
      </c>
      <c r="I271" s="19" t="str">
        <f>IF($B271="","",IFERROR(INDEX(Jobs!$K$2:$K$501,MATCH($B271,Jobs!$A$2:$A$501,0)),""))</f>
        <v/>
      </c>
      <c r="J271" s="16"/>
    </row>
    <row r="272" spans="1:10" x14ac:dyDescent="0.3">
      <c r="A272" s="15" t="str">
        <f t="shared" si="4"/>
        <v/>
      </c>
      <c r="B272" s="16"/>
      <c r="C272" s="15" t="str">
        <f>IF($B272="","",IFERROR(INDEX(Jobs!$B$2:$B$501,MATCH($B272,Jobs!$A$2:$A$501,0)),""))</f>
        <v/>
      </c>
      <c r="D272" s="17"/>
      <c r="E272" s="18"/>
      <c r="F272" s="16"/>
      <c r="G272" s="16"/>
      <c r="H272" s="19" t="str">
        <f>IF($B272="","",IFERROR(INDEX(Jobs!$I$2:$I$501,MATCH($B272,Jobs!$A$2:$A$501,0)),""))</f>
        <v/>
      </c>
      <c r="I272" s="19" t="str">
        <f>IF($B272="","",IFERROR(INDEX(Jobs!$K$2:$K$501,MATCH($B272,Jobs!$A$2:$A$501,0)),""))</f>
        <v/>
      </c>
      <c r="J272" s="16"/>
    </row>
    <row r="273" spans="1:10" x14ac:dyDescent="0.3">
      <c r="A273" s="15" t="str">
        <f t="shared" si="4"/>
        <v/>
      </c>
      <c r="B273" s="16"/>
      <c r="C273" s="15" t="str">
        <f>IF($B273="","",IFERROR(INDEX(Jobs!$B$2:$B$501,MATCH($B273,Jobs!$A$2:$A$501,0)),""))</f>
        <v/>
      </c>
      <c r="D273" s="17"/>
      <c r="E273" s="18"/>
      <c r="F273" s="16"/>
      <c r="G273" s="16"/>
      <c r="H273" s="19" t="str">
        <f>IF($B273="","",IFERROR(INDEX(Jobs!$I$2:$I$501,MATCH($B273,Jobs!$A$2:$A$501,0)),""))</f>
        <v/>
      </c>
      <c r="I273" s="19" t="str">
        <f>IF($B273="","",IFERROR(INDEX(Jobs!$K$2:$K$501,MATCH($B273,Jobs!$A$2:$A$501,0)),""))</f>
        <v/>
      </c>
      <c r="J273" s="16"/>
    </row>
    <row r="274" spans="1:10" x14ac:dyDescent="0.3">
      <c r="A274" s="15" t="str">
        <f t="shared" si="4"/>
        <v/>
      </c>
      <c r="B274" s="16"/>
      <c r="C274" s="15" t="str">
        <f>IF($B274="","",IFERROR(INDEX(Jobs!$B$2:$B$501,MATCH($B274,Jobs!$A$2:$A$501,0)),""))</f>
        <v/>
      </c>
      <c r="D274" s="17"/>
      <c r="E274" s="18"/>
      <c r="F274" s="16"/>
      <c r="G274" s="16"/>
      <c r="H274" s="19" t="str">
        <f>IF($B274="","",IFERROR(INDEX(Jobs!$I$2:$I$501,MATCH($B274,Jobs!$A$2:$A$501,0)),""))</f>
        <v/>
      </c>
      <c r="I274" s="19" t="str">
        <f>IF($B274="","",IFERROR(INDEX(Jobs!$K$2:$K$501,MATCH($B274,Jobs!$A$2:$A$501,0)),""))</f>
        <v/>
      </c>
      <c r="J274" s="16"/>
    </row>
    <row r="275" spans="1:10" x14ac:dyDescent="0.3">
      <c r="A275" s="15" t="str">
        <f t="shared" si="4"/>
        <v/>
      </c>
      <c r="B275" s="16"/>
      <c r="C275" s="15" t="str">
        <f>IF($B275="","",IFERROR(INDEX(Jobs!$B$2:$B$501,MATCH($B275,Jobs!$A$2:$A$501,0)),""))</f>
        <v/>
      </c>
      <c r="D275" s="17"/>
      <c r="E275" s="18"/>
      <c r="F275" s="16"/>
      <c r="G275" s="16"/>
      <c r="H275" s="19" t="str">
        <f>IF($B275="","",IFERROR(INDEX(Jobs!$I$2:$I$501,MATCH($B275,Jobs!$A$2:$A$501,0)),""))</f>
        <v/>
      </c>
      <c r="I275" s="19" t="str">
        <f>IF($B275="","",IFERROR(INDEX(Jobs!$K$2:$K$501,MATCH($B275,Jobs!$A$2:$A$501,0)),""))</f>
        <v/>
      </c>
      <c r="J275" s="16"/>
    </row>
    <row r="276" spans="1:10" x14ac:dyDescent="0.3">
      <c r="A276" s="15" t="str">
        <f t="shared" si="4"/>
        <v/>
      </c>
      <c r="B276" s="16"/>
      <c r="C276" s="15" t="str">
        <f>IF($B276="","",IFERROR(INDEX(Jobs!$B$2:$B$501,MATCH($B276,Jobs!$A$2:$A$501,0)),""))</f>
        <v/>
      </c>
      <c r="D276" s="17"/>
      <c r="E276" s="18"/>
      <c r="F276" s="16"/>
      <c r="G276" s="16"/>
      <c r="H276" s="19" t="str">
        <f>IF($B276="","",IFERROR(INDEX(Jobs!$I$2:$I$501,MATCH($B276,Jobs!$A$2:$A$501,0)),""))</f>
        <v/>
      </c>
      <c r="I276" s="19" t="str">
        <f>IF($B276="","",IFERROR(INDEX(Jobs!$K$2:$K$501,MATCH($B276,Jobs!$A$2:$A$501,0)),""))</f>
        <v/>
      </c>
      <c r="J276" s="16"/>
    </row>
    <row r="277" spans="1:10" x14ac:dyDescent="0.3">
      <c r="A277" s="15" t="str">
        <f t="shared" si="4"/>
        <v/>
      </c>
      <c r="B277" s="16"/>
      <c r="C277" s="15" t="str">
        <f>IF($B277="","",IFERROR(INDEX(Jobs!$B$2:$B$501,MATCH($B277,Jobs!$A$2:$A$501,0)),""))</f>
        <v/>
      </c>
      <c r="D277" s="17"/>
      <c r="E277" s="18"/>
      <c r="F277" s="16"/>
      <c r="G277" s="16"/>
      <c r="H277" s="19" t="str">
        <f>IF($B277="","",IFERROR(INDEX(Jobs!$I$2:$I$501,MATCH($B277,Jobs!$A$2:$A$501,0)),""))</f>
        <v/>
      </c>
      <c r="I277" s="19" t="str">
        <f>IF($B277="","",IFERROR(INDEX(Jobs!$K$2:$K$501,MATCH($B277,Jobs!$A$2:$A$501,0)),""))</f>
        <v/>
      </c>
      <c r="J277" s="16"/>
    </row>
    <row r="278" spans="1:10" x14ac:dyDescent="0.3">
      <c r="A278" s="15" t="str">
        <f t="shared" si="4"/>
        <v/>
      </c>
      <c r="B278" s="16"/>
      <c r="C278" s="15" t="str">
        <f>IF($B278="","",IFERROR(INDEX(Jobs!$B$2:$B$501,MATCH($B278,Jobs!$A$2:$A$501,0)),""))</f>
        <v/>
      </c>
      <c r="D278" s="17"/>
      <c r="E278" s="18"/>
      <c r="F278" s="16"/>
      <c r="G278" s="16"/>
      <c r="H278" s="19" t="str">
        <f>IF($B278="","",IFERROR(INDEX(Jobs!$I$2:$I$501,MATCH($B278,Jobs!$A$2:$A$501,0)),""))</f>
        <v/>
      </c>
      <c r="I278" s="19" t="str">
        <f>IF($B278="","",IFERROR(INDEX(Jobs!$K$2:$K$501,MATCH($B278,Jobs!$A$2:$A$501,0)),""))</f>
        <v/>
      </c>
      <c r="J278" s="16"/>
    </row>
    <row r="279" spans="1:10" x14ac:dyDescent="0.3">
      <c r="A279" s="15" t="str">
        <f t="shared" si="4"/>
        <v/>
      </c>
      <c r="B279" s="16"/>
      <c r="C279" s="15" t="str">
        <f>IF($B279="","",IFERROR(INDEX(Jobs!$B$2:$B$501,MATCH($B279,Jobs!$A$2:$A$501,0)),""))</f>
        <v/>
      </c>
      <c r="D279" s="17"/>
      <c r="E279" s="18"/>
      <c r="F279" s="16"/>
      <c r="G279" s="16"/>
      <c r="H279" s="19" t="str">
        <f>IF($B279="","",IFERROR(INDEX(Jobs!$I$2:$I$501,MATCH($B279,Jobs!$A$2:$A$501,0)),""))</f>
        <v/>
      </c>
      <c r="I279" s="19" t="str">
        <f>IF($B279="","",IFERROR(INDEX(Jobs!$K$2:$K$501,MATCH($B279,Jobs!$A$2:$A$501,0)),""))</f>
        <v/>
      </c>
      <c r="J279" s="16"/>
    </row>
    <row r="280" spans="1:10" x14ac:dyDescent="0.3">
      <c r="A280" s="15" t="str">
        <f t="shared" si="4"/>
        <v/>
      </c>
      <c r="B280" s="16"/>
      <c r="C280" s="15" t="str">
        <f>IF($B280="","",IFERROR(INDEX(Jobs!$B$2:$B$501,MATCH($B280,Jobs!$A$2:$A$501,0)),""))</f>
        <v/>
      </c>
      <c r="D280" s="17"/>
      <c r="E280" s="18"/>
      <c r="F280" s="16"/>
      <c r="G280" s="16"/>
      <c r="H280" s="19" t="str">
        <f>IF($B280="","",IFERROR(INDEX(Jobs!$I$2:$I$501,MATCH($B280,Jobs!$A$2:$A$501,0)),""))</f>
        <v/>
      </c>
      <c r="I280" s="19" t="str">
        <f>IF($B280="","",IFERROR(INDEX(Jobs!$K$2:$K$501,MATCH($B280,Jobs!$A$2:$A$501,0)),""))</f>
        <v/>
      </c>
      <c r="J280" s="16"/>
    </row>
    <row r="281" spans="1:10" x14ac:dyDescent="0.3">
      <c r="A281" s="15" t="str">
        <f t="shared" si="4"/>
        <v/>
      </c>
      <c r="B281" s="16"/>
      <c r="C281" s="15" t="str">
        <f>IF($B281="","",IFERROR(INDEX(Jobs!$B$2:$B$501,MATCH($B281,Jobs!$A$2:$A$501,0)),""))</f>
        <v/>
      </c>
      <c r="D281" s="17"/>
      <c r="E281" s="18"/>
      <c r="F281" s="16"/>
      <c r="G281" s="16"/>
      <c r="H281" s="19" t="str">
        <f>IF($B281="","",IFERROR(INDEX(Jobs!$I$2:$I$501,MATCH($B281,Jobs!$A$2:$A$501,0)),""))</f>
        <v/>
      </c>
      <c r="I281" s="19" t="str">
        <f>IF($B281="","",IFERROR(INDEX(Jobs!$K$2:$K$501,MATCH($B281,Jobs!$A$2:$A$501,0)),""))</f>
        <v/>
      </c>
      <c r="J281" s="16"/>
    </row>
    <row r="282" spans="1:10" x14ac:dyDescent="0.3">
      <c r="A282" s="15" t="str">
        <f t="shared" si="4"/>
        <v/>
      </c>
      <c r="B282" s="16"/>
      <c r="C282" s="15" t="str">
        <f>IF($B282="","",IFERROR(INDEX(Jobs!$B$2:$B$501,MATCH($B282,Jobs!$A$2:$A$501,0)),""))</f>
        <v/>
      </c>
      <c r="D282" s="17"/>
      <c r="E282" s="18"/>
      <c r="F282" s="16"/>
      <c r="G282" s="16"/>
      <c r="H282" s="19" t="str">
        <f>IF($B282="","",IFERROR(INDEX(Jobs!$I$2:$I$501,MATCH($B282,Jobs!$A$2:$A$501,0)),""))</f>
        <v/>
      </c>
      <c r="I282" s="19" t="str">
        <f>IF($B282="","",IFERROR(INDEX(Jobs!$K$2:$K$501,MATCH($B282,Jobs!$A$2:$A$501,0)),""))</f>
        <v/>
      </c>
      <c r="J282" s="16"/>
    </row>
    <row r="283" spans="1:10" x14ac:dyDescent="0.3">
      <c r="A283" s="15" t="str">
        <f t="shared" si="4"/>
        <v/>
      </c>
      <c r="B283" s="16"/>
      <c r="C283" s="15" t="str">
        <f>IF($B283="","",IFERROR(INDEX(Jobs!$B$2:$B$501,MATCH($B283,Jobs!$A$2:$A$501,0)),""))</f>
        <v/>
      </c>
      <c r="D283" s="17"/>
      <c r="E283" s="18"/>
      <c r="F283" s="16"/>
      <c r="G283" s="16"/>
      <c r="H283" s="19" t="str">
        <f>IF($B283="","",IFERROR(INDEX(Jobs!$I$2:$I$501,MATCH($B283,Jobs!$A$2:$A$501,0)),""))</f>
        <v/>
      </c>
      <c r="I283" s="19" t="str">
        <f>IF($B283="","",IFERROR(INDEX(Jobs!$K$2:$K$501,MATCH($B283,Jobs!$A$2:$A$501,0)),""))</f>
        <v/>
      </c>
      <c r="J283" s="16"/>
    </row>
    <row r="284" spans="1:10" x14ac:dyDescent="0.3">
      <c r="A284" s="15" t="str">
        <f t="shared" si="4"/>
        <v/>
      </c>
      <c r="B284" s="16"/>
      <c r="C284" s="15" t="str">
        <f>IF($B284="","",IFERROR(INDEX(Jobs!$B$2:$B$501,MATCH($B284,Jobs!$A$2:$A$501,0)),""))</f>
        <v/>
      </c>
      <c r="D284" s="17"/>
      <c r="E284" s="18"/>
      <c r="F284" s="16"/>
      <c r="G284" s="16"/>
      <c r="H284" s="19" t="str">
        <f>IF($B284="","",IFERROR(INDEX(Jobs!$I$2:$I$501,MATCH($B284,Jobs!$A$2:$A$501,0)),""))</f>
        <v/>
      </c>
      <c r="I284" s="19" t="str">
        <f>IF($B284="","",IFERROR(INDEX(Jobs!$K$2:$K$501,MATCH($B284,Jobs!$A$2:$A$501,0)),""))</f>
        <v/>
      </c>
      <c r="J284" s="16"/>
    </row>
    <row r="285" spans="1:10" x14ac:dyDescent="0.3">
      <c r="A285" s="15" t="str">
        <f t="shared" si="4"/>
        <v/>
      </c>
      <c r="B285" s="16"/>
      <c r="C285" s="15" t="str">
        <f>IF($B285="","",IFERROR(INDEX(Jobs!$B$2:$B$501,MATCH($B285,Jobs!$A$2:$A$501,0)),""))</f>
        <v/>
      </c>
      <c r="D285" s="17"/>
      <c r="E285" s="18"/>
      <c r="F285" s="16"/>
      <c r="G285" s="16"/>
      <c r="H285" s="19" t="str">
        <f>IF($B285="","",IFERROR(INDEX(Jobs!$I$2:$I$501,MATCH($B285,Jobs!$A$2:$A$501,0)),""))</f>
        <v/>
      </c>
      <c r="I285" s="19" t="str">
        <f>IF($B285="","",IFERROR(INDEX(Jobs!$K$2:$K$501,MATCH($B285,Jobs!$A$2:$A$501,0)),""))</f>
        <v/>
      </c>
      <c r="J285" s="16"/>
    </row>
    <row r="286" spans="1:10" x14ac:dyDescent="0.3">
      <c r="A286" s="15" t="str">
        <f t="shared" si="4"/>
        <v/>
      </c>
      <c r="B286" s="16"/>
      <c r="C286" s="15" t="str">
        <f>IF($B286="","",IFERROR(INDEX(Jobs!$B$2:$B$501,MATCH($B286,Jobs!$A$2:$A$501,0)),""))</f>
        <v/>
      </c>
      <c r="D286" s="17"/>
      <c r="E286" s="18"/>
      <c r="F286" s="16"/>
      <c r="G286" s="16"/>
      <c r="H286" s="19" t="str">
        <f>IF($B286="","",IFERROR(INDEX(Jobs!$I$2:$I$501,MATCH($B286,Jobs!$A$2:$A$501,0)),""))</f>
        <v/>
      </c>
      <c r="I286" s="19" t="str">
        <f>IF($B286="","",IFERROR(INDEX(Jobs!$K$2:$K$501,MATCH($B286,Jobs!$A$2:$A$501,0)),""))</f>
        <v/>
      </c>
      <c r="J286" s="16"/>
    </row>
    <row r="287" spans="1:10" x14ac:dyDescent="0.3">
      <c r="A287" s="15" t="str">
        <f t="shared" si="4"/>
        <v/>
      </c>
      <c r="B287" s="16"/>
      <c r="C287" s="15" t="str">
        <f>IF($B287="","",IFERROR(INDEX(Jobs!$B$2:$B$501,MATCH($B287,Jobs!$A$2:$A$501,0)),""))</f>
        <v/>
      </c>
      <c r="D287" s="17"/>
      <c r="E287" s="18"/>
      <c r="F287" s="16"/>
      <c r="G287" s="16"/>
      <c r="H287" s="19" t="str">
        <f>IF($B287="","",IFERROR(INDEX(Jobs!$I$2:$I$501,MATCH($B287,Jobs!$A$2:$A$501,0)),""))</f>
        <v/>
      </c>
      <c r="I287" s="19" t="str">
        <f>IF($B287="","",IFERROR(INDEX(Jobs!$K$2:$K$501,MATCH($B287,Jobs!$A$2:$A$501,0)),""))</f>
        <v/>
      </c>
      <c r="J287" s="16"/>
    </row>
    <row r="288" spans="1:10" x14ac:dyDescent="0.3">
      <c r="A288" s="15" t="str">
        <f t="shared" si="4"/>
        <v/>
      </c>
      <c r="B288" s="16"/>
      <c r="C288" s="15" t="str">
        <f>IF($B288="","",IFERROR(INDEX(Jobs!$B$2:$B$501,MATCH($B288,Jobs!$A$2:$A$501,0)),""))</f>
        <v/>
      </c>
      <c r="D288" s="17"/>
      <c r="E288" s="18"/>
      <c r="F288" s="16"/>
      <c r="G288" s="16"/>
      <c r="H288" s="19" t="str">
        <f>IF($B288="","",IFERROR(INDEX(Jobs!$I$2:$I$501,MATCH($B288,Jobs!$A$2:$A$501,0)),""))</f>
        <v/>
      </c>
      <c r="I288" s="19" t="str">
        <f>IF($B288="","",IFERROR(INDEX(Jobs!$K$2:$K$501,MATCH($B288,Jobs!$A$2:$A$501,0)),""))</f>
        <v/>
      </c>
      <c r="J288" s="16"/>
    </row>
    <row r="289" spans="1:10" x14ac:dyDescent="0.3">
      <c r="A289" s="15" t="str">
        <f t="shared" si="4"/>
        <v/>
      </c>
      <c r="B289" s="16"/>
      <c r="C289" s="15" t="str">
        <f>IF($B289="","",IFERROR(INDEX(Jobs!$B$2:$B$501,MATCH($B289,Jobs!$A$2:$A$501,0)),""))</f>
        <v/>
      </c>
      <c r="D289" s="17"/>
      <c r="E289" s="18"/>
      <c r="F289" s="16"/>
      <c r="G289" s="16"/>
      <c r="H289" s="19" t="str">
        <f>IF($B289="","",IFERROR(INDEX(Jobs!$I$2:$I$501,MATCH($B289,Jobs!$A$2:$A$501,0)),""))</f>
        <v/>
      </c>
      <c r="I289" s="19" t="str">
        <f>IF($B289="","",IFERROR(INDEX(Jobs!$K$2:$K$501,MATCH($B289,Jobs!$A$2:$A$501,0)),""))</f>
        <v/>
      </c>
      <c r="J289" s="16"/>
    </row>
    <row r="290" spans="1:10" x14ac:dyDescent="0.3">
      <c r="A290" s="15" t="str">
        <f t="shared" si="4"/>
        <v/>
      </c>
      <c r="B290" s="16"/>
      <c r="C290" s="15" t="str">
        <f>IF($B290="","",IFERROR(INDEX(Jobs!$B$2:$B$501,MATCH($B290,Jobs!$A$2:$A$501,0)),""))</f>
        <v/>
      </c>
      <c r="D290" s="17"/>
      <c r="E290" s="18"/>
      <c r="F290" s="16"/>
      <c r="G290" s="16"/>
      <c r="H290" s="19" t="str">
        <f>IF($B290="","",IFERROR(INDEX(Jobs!$I$2:$I$501,MATCH($B290,Jobs!$A$2:$A$501,0)),""))</f>
        <v/>
      </c>
      <c r="I290" s="19" t="str">
        <f>IF($B290="","",IFERROR(INDEX(Jobs!$K$2:$K$501,MATCH($B290,Jobs!$A$2:$A$501,0)),""))</f>
        <v/>
      </c>
      <c r="J290" s="16"/>
    </row>
    <row r="291" spans="1:10" x14ac:dyDescent="0.3">
      <c r="A291" s="15" t="str">
        <f t="shared" si="4"/>
        <v/>
      </c>
      <c r="B291" s="16"/>
      <c r="C291" s="15" t="str">
        <f>IF($B291="","",IFERROR(INDEX(Jobs!$B$2:$B$501,MATCH($B291,Jobs!$A$2:$A$501,0)),""))</f>
        <v/>
      </c>
      <c r="D291" s="17"/>
      <c r="E291" s="18"/>
      <c r="F291" s="16"/>
      <c r="G291" s="16"/>
      <c r="H291" s="19" t="str">
        <f>IF($B291="","",IFERROR(INDEX(Jobs!$I$2:$I$501,MATCH($B291,Jobs!$A$2:$A$501,0)),""))</f>
        <v/>
      </c>
      <c r="I291" s="19" t="str">
        <f>IF($B291="","",IFERROR(INDEX(Jobs!$K$2:$K$501,MATCH($B291,Jobs!$A$2:$A$501,0)),""))</f>
        <v/>
      </c>
      <c r="J291" s="16"/>
    </row>
    <row r="292" spans="1:10" x14ac:dyDescent="0.3">
      <c r="A292" s="15" t="str">
        <f t="shared" si="4"/>
        <v/>
      </c>
      <c r="B292" s="16"/>
      <c r="C292" s="15" t="str">
        <f>IF($B292="","",IFERROR(INDEX(Jobs!$B$2:$B$501,MATCH($B292,Jobs!$A$2:$A$501,0)),""))</f>
        <v/>
      </c>
      <c r="D292" s="17"/>
      <c r="E292" s="18"/>
      <c r="F292" s="16"/>
      <c r="G292" s="16"/>
      <c r="H292" s="19" t="str">
        <f>IF($B292="","",IFERROR(INDEX(Jobs!$I$2:$I$501,MATCH($B292,Jobs!$A$2:$A$501,0)),""))</f>
        <v/>
      </c>
      <c r="I292" s="19" t="str">
        <f>IF($B292="","",IFERROR(INDEX(Jobs!$K$2:$K$501,MATCH($B292,Jobs!$A$2:$A$501,0)),""))</f>
        <v/>
      </c>
      <c r="J292" s="16"/>
    </row>
    <row r="293" spans="1:10" x14ac:dyDescent="0.3">
      <c r="A293" s="15" t="str">
        <f t="shared" si="4"/>
        <v/>
      </c>
      <c r="B293" s="16"/>
      <c r="C293" s="15" t="str">
        <f>IF($B293="","",IFERROR(INDEX(Jobs!$B$2:$B$501,MATCH($B293,Jobs!$A$2:$A$501,0)),""))</f>
        <v/>
      </c>
      <c r="D293" s="17"/>
      <c r="E293" s="18"/>
      <c r="F293" s="16"/>
      <c r="G293" s="16"/>
      <c r="H293" s="19" t="str">
        <f>IF($B293="","",IFERROR(INDEX(Jobs!$I$2:$I$501,MATCH($B293,Jobs!$A$2:$A$501,0)),""))</f>
        <v/>
      </c>
      <c r="I293" s="19" t="str">
        <f>IF($B293="","",IFERROR(INDEX(Jobs!$K$2:$K$501,MATCH($B293,Jobs!$A$2:$A$501,0)),""))</f>
        <v/>
      </c>
      <c r="J293" s="16"/>
    </row>
    <row r="294" spans="1:10" x14ac:dyDescent="0.3">
      <c r="A294" s="15" t="str">
        <f t="shared" si="4"/>
        <v/>
      </c>
      <c r="B294" s="16"/>
      <c r="C294" s="15" t="str">
        <f>IF($B294="","",IFERROR(INDEX(Jobs!$B$2:$B$501,MATCH($B294,Jobs!$A$2:$A$501,0)),""))</f>
        <v/>
      </c>
      <c r="D294" s="17"/>
      <c r="E294" s="18"/>
      <c r="F294" s="16"/>
      <c r="G294" s="16"/>
      <c r="H294" s="19" t="str">
        <f>IF($B294="","",IFERROR(INDEX(Jobs!$I$2:$I$501,MATCH($B294,Jobs!$A$2:$A$501,0)),""))</f>
        <v/>
      </c>
      <c r="I294" s="19" t="str">
        <f>IF($B294="","",IFERROR(INDEX(Jobs!$K$2:$K$501,MATCH($B294,Jobs!$A$2:$A$501,0)),""))</f>
        <v/>
      </c>
      <c r="J294" s="16"/>
    </row>
    <row r="295" spans="1:10" x14ac:dyDescent="0.3">
      <c r="A295" s="15" t="str">
        <f t="shared" si="4"/>
        <v/>
      </c>
      <c r="B295" s="16"/>
      <c r="C295" s="15" t="str">
        <f>IF($B295="","",IFERROR(INDEX(Jobs!$B$2:$B$501,MATCH($B295,Jobs!$A$2:$A$501,0)),""))</f>
        <v/>
      </c>
      <c r="D295" s="17"/>
      <c r="E295" s="18"/>
      <c r="F295" s="16"/>
      <c r="G295" s="16"/>
      <c r="H295" s="19" t="str">
        <f>IF($B295="","",IFERROR(INDEX(Jobs!$I$2:$I$501,MATCH($B295,Jobs!$A$2:$A$501,0)),""))</f>
        <v/>
      </c>
      <c r="I295" s="19" t="str">
        <f>IF($B295="","",IFERROR(INDEX(Jobs!$K$2:$K$501,MATCH($B295,Jobs!$A$2:$A$501,0)),""))</f>
        <v/>
      </c>
      <c r="J295" s="16"/>
    </row>
    <row r="296" spans="1:10" x14ac:dyDescent="0.3">
      <c r="A296" s="15" t="str">
        <f t="shared" si="4"/>
        <v/>
      </c>
      <c r="B296" s="16"/>
      <c r="C296" s="15" t="str">
        <f>IF($B296="","",IFERROR(INDEX(Jobs!$B$2:$B$501,MATCH($B296,Jobs!$A$2:$A$501,0)),""))</f>
        <v/>
      </c>
      <c r="D296" s="17"/>
      <c r="E296" s="18"/>
      <c r="F296" s="16"/>
      <c r="G296" s="16"/>
      <c r="H296" s="19" t="str">
        <f>IF($B296="","",IFERROR(INDEX(Jobs!$I$2:$I$501,MATCH($B296,Jobs!$A$2:$A$501,0)),""))</f>
        <v/>
      </c>
      <c r="I296" s="19" t="str">
        <f>IF($B296="","",IFERROR(INDEX(Jobs!$K$2:$K$501,MATCH($B296,Jobs!$A$2:$A$501,0)),""))</f>
        <v/>
      </c>
      <c r="J296" s="16"/>
    </row>
    <row r="297" spans="1:10" x14ac:dyDescent="0.3">
      <c r="A297" s="15" t="str">
        <f t="shared" si="4"/>
        <v/>
      </c>
      <c r="B297" s="16"/>
      <c r="C297" s="15" t="str">
        <f>IF($B297="","",IFERROR(INDEX(Jobs!$B$2:$B$501,MATCH($B297,Jobs!$A$2:$A$501,0)),""))</f>
        <v/>
      </c>
      <c r="D297" s="17"/>
      <c r="E297" s="18"/>
      <c r="F297" s="16"/>
      <c r="G297" s="16"/>
      <c r="H297" s="19" t="str">
        <f>IF($B297="","",IFERROR(INDEX(Jobs!$I$2:$I$501,MATCH($B297,Jobs!$A$2:$A$501,0)),""))</f>
        <v/>
      </c>
      <c r="I297" s="19" t="str">
        <f>IF($B297="","",IFERROR(INDEX(Jobs!$K$2:$K$501,MATCH($B297,Jobs!$A$2:$A$501,0)),""))</f>
        <v/>
      </c>
      <c r="J297" s="16"/>
    </row>
    <row r="298" spans="1:10" x14ac:dyDescent="0.3">
      <c r="A298" s="15" t="str">
        <f t="shared" si="4"/>
        <v/>
      </c>
      <c r="B298" s="16"/>
      <c r="C298" s="15" t="str">
        <f>IF($B298="","",IFERROR(INDEX(Jobs!$B$2:$B$501,MATCH($B298,Jobs!$A$2:$A$501,0)),""))</f>
        <v/>
      </c>
      <c r="D298" s="17"/>
      <c r="E298" s="18"/>
      <c r="F298" s="16"/>
      <c r="G298" s="16"/>
      <c r="H298" s="19" t="str">
        <f>IF($B298="","",IFERROR(INDEX(Jobs!$I$2:$I$501,MATCH($B298,Jobs!$A$2:$A$501,0)),""))</f>
        <v/>
      </c>
      <c r="I298" s="19" t="str">
        <f>IF($B298="","",IFERROR(INDEX(Jobs!$K$2:$K$501,MATCH($B298,Jobs!$A$2:$A$501,0)),""))</f>
        <v/>
      </c>
      <c r="J298" s="16"/>
    </row>
    <row r="299" spans="1:10" x14ac:dyDescent="0.3">
      <c r="A299" s="15" t="str">
        <f t="shared" si="4"/>
        <v/>
      </c>
      <c r="B299" s="16"/>
      <c r="C299" s="15" t="str">
        <f>IF($B299="","",IFERROR(INDEX(Jobs!$B$2:$B$501,MATCH($B299,Jobs!$A$2:$A$501,0)),""))</f>
        <v/>
      </c>
      <c r="D299" s="17"/>
      <c r="E299" s="18"/>
      <c r="F299" s="16"/>
      <c r="G299" s="16"/>
      <c r="H299" s="19" t="str">
        <f>IF($B299="","",IFERROR(INDEX(Jobs!$I$2:$I$501,MATCH($B299,Jobs!$A$2:$A$501,0)),""))</f>
        <v/>
      </c>
      <c r="I299" s="19" t="str">
        <f>IF($B299="","",IFERROR(INDEX(Jobs!$K$2:$K$501,MATCH($B299,Jobs!$A$2:$A$501,0)),""))</f>
        <v/>
      </c>
      <c r="J299" s="16"/>
    </row>
    <row r="300" spans="1:10" x14ac:dyDescent="0.3">
      <c r="A300" s="15" t="str">
        <f t="shared" si="4"/>
        <v/>
      </c>
      <c r="B300" s="16"/>
      <c r="C300" s="15" t="str">
        <f>IF($B300="","",IFERROR(INDEX(Jobs!$B$2:$B$501,MATCH($B300,Jobs!$A$2:$A$501,0)),""))</f>
        <v/>
      </c>
      <c r="D300" s="17"/>
      <c r="E300" s="18"/>
      <c r="F300" s="16"/>
      <c r="G300" s="16"/>
      <c r="H300" s="19" t="str">
        <f>IF($B300="","",IFERROR(INDEX(Jobs!$I$2:$I$501,MATCH($B300,Jobs!$A$2:$A$501,0)),""))</f>
        <v/>
      </c>
      <c r="I300" s="19" t="str">
        <f>IF($B300="","",IFERROR(INDEX(Jobs!$K$2:$K$501,MATCH($B300,Jobs!$A$2:$A$501,0)),""))</f>
        <v/>
      </c>
      <c r="J300" s="16"/>
    </row>
    <row r="301" spans="1:10" x14ac:dyDescent="0.3">
      <c r="A301" s="15" t="str">
        <f t="shared" si="4"/>
        <v/>
      </c>
      <c r="B301" s="16"/>
      <c r="C301" s="15" t="str">
        <f>IF($B301="","",IFERROR(INDEX(Jobs!$B$2:$B$501,MATCH($B301,Jobs!$A$2:$A$501,0)),""))</f>
        <v/>
      </c>
      <c r="D301" s="17"/>
      <c r="E301" s="18"/>
      <c r="F301" s="16"/>
      <c r="G301" s="16"/>
      <c r="H301" s="19" t="str">
        <f>IF($B301="","",IFERROR(INDEX(Jobs!$I$2:$I$501,MATCH($B301,Jobs!$A$2:$A$501,0)),""))</f>
        <v/>
      </c>
      <c r="I301" s="19" t="str">
        <f>IF($B301="","",IFERROR(INDEX(Jobs!$K$2:$K$501,MATCH($B301,Jobs!$A$2:$A$501,0)),""))</f>
        <v/>
      </c>
      <c r="J301" s="16"/>
    </row>
    <row r="302" spans="1:10" x14ac:dyDescent="0.3">
      <c r="A302" s="15" t="str">
        <f t="shared" si="4"/>
        <v/>
      </c>
      <c r="B302" s="16"/>
      <c r="C302" s="15" t="str">
        <f>IF($B302="","",IFERROR(INDEX(Jobs!$B$2:$B$501,MATCH($B302,Jobs!$A$2:$A$501,0)),""))</f>
        <v/>
      </c>
      <c r="D302" s="17"/>
      <c r="E302" s="18"/>
      <c r="F302" s="16"/>
      <c r="G302" s="16"/>
      <c r="H302" s="19" t="str">
        <f>IF($B302="","",IFERROR(INDEX(Jobs!$I$2:$I$501,MATCH($B302,Jobs!$A$2:$A$501,0)),""))</f>
        <v/>
      </c>
      <c r="I302" s="19" t="str">
        <f>IF($B302="","",IFERROR(INDEX(Jobs!$K$2:$K$501,MATCH($B302,Jobs!$A$2:$A$501,0)),""))</f>
        <v/>
      </c>
      <c r="J302" s="16"/>
    </row>
    <row r="303" spans="1:10" x14ac:dyDescent="0.3">
      <c r="A303" s="15" t="str">
        <f t="shared" si="4"/>
        <v/>
      </c>
      <c r="B303" s="16"/>
      <c r="C303" s="15" t="str">
        <f>IF($B303="","",IFERROR(INDEX(Jobs!$B$2:$B$501,MATCH($B303,Jobs!$A$2:$A$501,0)),""))</f>
        <v/>
      </c>
      <c r="D303" s="17"/>
      <c r="E303" s="18"/>
      <c r="F303" s="16"/>
      <c r="G303" s="16"/>
      <c r="H303" s="19" t="str">
        <f>IF($B303="","",IFERROR(INDEX(Jobs!$I$2:$I$501,MATCH($B303,Jobs!$A$2:$A$501,0)),""))</f>
        <v/>
      </c>
      <c r="I303" s="19" t="str">
        <f>IF($B303="","",IFERROR(INDEX(Jobs!$K$2:$K$501,MATCH($B303,Jobs!$A$2:$A$501,0)),""))</f>
        <v/>
      </c>
      <c r="J303" s="16"/>
    </row>
    <row r="304" spans="1:10" x14ac:dyDescent="0.3">
      <c r="A304" s="15" t="str">
        <f t="shared" si="4"/>
        <v/>
      </c>
      <c r="B304" s="16"/>
      <c r="C304" s="15" t="str">
        <f>IF($B304="","",IFERROR(INDEX(Jobs!$B$2:$B$501,MATCH($B304,Jobs!$A$2:$A$501,0)),""))</f>
        <v/>
      </c>
      <c r="D304" s="17"/>
      <c r="E304" s="18"/>
      <c r="F304" s="16"/>
      <c r="G304" s="16"/>
      <c r="H304" s="19" t="str">
        <f>IF($B304="","",IFERROR(INDEX(Jobs!$I$2:$I$501,MATCH($B304,Jobs!$A$2:$A$501,0)),""))</f>
        <v/>
      </c>
      <c r="I304" s="19" t="str">
        <f>IF($B304="","",IFERROR(INDEX(Jobs!$K$2:$K$501,MATCH($B304,Jobs!$A$2:$A$501,0)),""))</f>
        <v/>
      </c>
      <c r="J304" s="16"/>
    </row>
    <row r="305" spans="1:10" x14ac:dyDescent="0.3">
      <c r="A305" s="15" t="str">
        <f t="shared" si="4"/>
        <v/>
      </c>
      <c r="B305" s="16"/>
      <c r="C305" s="15" t="str">
        <f>IF($B305="","",IFERROR(INDEX(Jobs!$B$2:$B$501,MATCH($B305,Jobs!$A$2:$A$501,0)),""))</f>
        <v/>
      </c>
      <c r="D305" s="17"/>
      <c r="E305" s="18"/>
      <c r="F305" s="16"/>
      <c r="G305" s="16"/>
      <c r="H305" s="19" t="str">
        <f>IF($B305="","",IFERROR(INDEX(Jobs!$I$2:$I$501,MATCH($B305,Jobs!$A$2:$A$501,0)),""))</f>
        <v/>
      </c>
      <c r="I305" s="19" t="str">
        <f>IF($B305="","",IFERROR(INDEX(Jobs!$K$2:$K$501,MATCH($B305,Jobs!$A$2:$A$501,0)),""))</f>
        <v/>
      </c>
      <c r="J305" s="16"/>
    </row>
    <row r="306" spans="1:10" x14ac:dyDescent="0.3">
      <c r="A306" s="15" t="str">
        <f t="shared" si="4"/>
        <v/>
      </c>
      <c r="B306" s="16"/>
      <c r="C306" s="15" t="str">
        <f>IF($B306="","",IFERROR(INDEX(Jobs!$B$2:$B$501,MATCH($B306,Jobs!$A$2:$A$501,0)),""))</f>
        <v/>
      </c>
      <c r="D306" s="17"/>
      <c r="E306" s="18"/>
      <c r="F306" s="16"/>
      <c r="G306" s="16"/>
      <c r="H306" s="19" t="str">
        <f>IF($B306="","",IFERROR(INDEX(Jobs!$I$2:$I$501,MATCH($B306,Jobs!$A$2:$A$501,0)),""))</f>
        <v/>
      </c>
      <c r="I306" s="19" t="str">
        <f>IF($B306="","",IFERROR(INDEX(Jobs!$K$2:$K$501,MATCH($B306,Jobs!$A$2:$A$501,0)),""))</f>
        <v/>
      </c>
      <c r="J306" s="16"/>
    </row>
    <row r="307" spans="1:10" x14ac:dyDescent="0.3">
      <c r="A307" s="15" t="str">
        <f t="shared" si="4"/>
        <v/>
      </c>
      <c r="B307" s="16"/>
      <c r="C307" s="15" t="str">
        <f>IF($B307="","",IFERROR(INDEX(Jobs!$B$2:$B$501,MATCH($B307,Jobs!$A$2:$A$501,0)),""))</f>
        <v/>
      </c>
      <c r="D307" s="17"/>
      <c r="E307" s="18"/>
      <c r="F307" s="16"/>
      <c r="G307" s="16"/>
      <c r="H307" s="19" t="str">
        <f>IF($B307="","",IFERROR(INDEX(Jobs!$I$2:$I$501,MATCH($B307,Jobs!$A$2:$A$501,0)),""))</f>
        <v/>
      </c>
      <c r="I307" s="19" t="str">
        <f>IF($B307="","",IFERROR(INDEX(Jobs!$K$2:$K$501,MATCH($B307,Jobs!$A$2:$A$501,0)),""))</f>
        <v/>
      </c>
      <c r="J307" s="16"/>
    </row>
    <row r="308" spans="1:10" x14ac:dyDescent="0.3">
      <c r="A308" s="15" t="str">
        <f t="shared" si="4"/>
        <v/>
      </c>
      <c r="B308" s="16"/>
      <c r="C308" s="15" t="str">
        <f>IF($B308="","",IFERROR(INDEX(Jobs!$B$2:$B$501,MATCH($B308,Jobs!$A$2:$A$501,0)),""))</f>
        <v/>
      </c>
      <c r="D308" s="17"/>
      <c r="E308" s="18"/>
      <c r="F308" s="16"/>
      <c r="G308" s="16"/>
      <c r="H308" s="19" t="str">
        <f>IF($B308="","",IFERROR(INDEX(Jobs!$I$2:$I$501,MATCH($B308,Jobs!$A$2:$A$501,0)),""))</f>
        <v/>
      </c>
      <c r="I308" s="19" t="str">
        <f>IF($B308="","",IFERROR(INDEX(Jobs!$K$2:$K$501,MATCH($B308,Jobs!$A$2:$A$501,0)),""))</f>
        <v/>
      </c>
      <c r="J308" s="16"/>
    </row>
    <row r="309" spans="1:10" x14ac:dyDescent="0.3">
      <c r="A309" s="15" t="str">
        <f t="shared" si="4"/>
        <v/>
      </c>
      <c r="B309" s="16"/>
      <c r="C309" s="15" t="str">
        <f>IF($B309="","",IFERROR(INDEX(Jobs!$B$2:$B$501,MATCH($B309,Jobs!$A$2:$A$501,0)),""))</f>
        <v/>
      </c>
      <c r="D309" s="17"/>
      <c r="E309" s="18"/>
      <c r="F309" s="16"/>
      <c r="G309" s="16"/>
      <c r="H309" s="19" t="str">
        <f>IF($B309="","",IFERROR(INDEX(Jobs!$I$2:$I$501,MATCH($B309,Jobs!$A$2:$A$501,0)),""))</f>
        <v/>
      </c>
      <c r="I309" s="19" t="str">
        <f>IF($B309="","",IFERROR(INDEX(Jobs!$K$2:$K$501,MATCH($B309,Jobs!$A$2:$A$501,0)),""))</f>
        <v/>
      </c>
      <c r="J309" s="16"/>
    </row>
    <row r="310" spans="1:10" x14ac:dyDescent="0.3">
      <c r="A310" s="15" t="str">
        <f t="shared" si="4"/>
        <v/>
      </c>
      <c r="B310" s="16"/>
      <c r="C310" s="15" t="str">
        <f>IF($B310="","",IFERROR(INDEX(Jobs!$B$2:$B$501,MATCH($B310,Jobs!$A$2:$A$501,0)),""))</f>
        <v/>
      </c>
      <c r="D310" s="17"/>
      <c r="E310" s="18"/>
      <c r="F310" s="16"/>
      <c r="G310" s="16"/>
      <c r="H310" s="19" t="str">
        <f>IF($B310="","",IFERROR(INDEX(Jobs!$I$2:$I$501,MATCH($B310,Jobs!$A$2:$A$501,0)),""))</f>
        <v/>
      </c>
      <c r="I310" s="19" t="str">
        <f>IF($B310="","",IFERROR(INDEX(Jobs!$K$2:$K$501,MATCH($B310,Jobs!$A$2:$A$501,0)),""))</f>
        <v/>
      </c>
      <c r="J310" s="16"/>
    </row>
    <row r="311" spans="1:10" x14ac:dyDescent="0.3">
      <c r="A311" s="15" t="str">
        <f t="shared" si="4"/>
        <v/>
      </c>
      <c r="B311" s="16"/>
      <c r="C311" s="15" t="str">
        <f>IF($B311="","",IFERROR(INDEX(Jobs!$B$2:$B$501,MATCH($B311,Jobs!$A$2:$A$501,0)),""))</f>
        <v/>
      </c>
      <c r="D311" s="17"/>
      <c r="E311" s="18"/>
      <c r="F311" s="16"/>
      <c r="G311" s="16"/>
      <c r="H311" s="19" t="str">
        <f>IF($B311="","",IFERROR(INDEX(Jobs!$I$2:$I$501,MATCH($B311,Jobs!$A$2:$A$501,0)),""))</f>
        <v/>
      </c>
      <c r="I311" s="19" t="str">
        <f>IF($B311="","",IFERROR(INDEX(Jobs!$K$2:$K$501,MATCH($B311,Jobs!$A$2:$A$501,0)),""))</f>
        <v/>
      </c>
      <c r="J311" s="16"/>
    </row>
    <row r="312" spans="1:10" x14ac:dyDescent="0.3">
      <c r="A312" s="15" t="str">
        <f t="shared" si="4"/>
        <v/>
      </c>
      <c r="B312" s="16"/>
      <c r="C312" s="15" t="str">
        <f>IF($B312="","",IFERROR(INDEX(Jobs!$B$2:$B$501,MATCH($B312,Jobs!$A$2:$A$501,0)),""))</f>
        <v/>
      </c>
      <c r="D312" s="17"/>
      <c r="E312" s="18"/>
      <c r="F312" s="16"/>
      <c r="G312" s="16"/>
      <c r="H312" s="19" t="str">
        <f>IF($B312="","",IFERROR(INDEX(Jobs!$I$2:$I$501,MATCH($B312,Jobs!$A$2:$A$501,0)),""))</f>
        <v/>
      </c>
      <c r="I312" s="19" t="str">
        <f>IF($B312="","",IFERROR(INDEX(Jobs!$K$2:$K$501,MATCH($B312,Jobs!$A$2:$A$501,0)),""))</f>
        <v/>
      </c>
      <c r="J312" s="16"/>
    </row>
    <row r="313" spans="1:10" x14ac:dyDescent="0.3">
      <c r="A313" s="15" t="str">
        <f t="shared" si="4"/>
        <v/>
      </c>
      <c r="B313" s="16"/>
      <c r="C313" s="15" t="str">
        <f>IF($B313="","",IFERROR(INDEX(Jobs!$B$2:$B$501,MATCH($B313,Jobs!$A$2:$A$501,0)),""))</f>
        <v/>
      </c>
      <c r="D313" s="17"/>
      <c r="E313" s="18"/>
      <c r="F313" s="16"/>
      <c r="G313" s="16"/>
      <c r="H313" s="19" t="str">
        <f>IF($B313="","",IFERROR(INDEX(Jobs!$I$2:$I$501,MATCH($B313,Jobs!$A$2:$A$501,0)),""))</f>
        <v/>
      </c>
      <c r="I313" s="19" t="str">
        <f>IF($B313="","",IFERROR(INDEX(Jobs!$K$2:$K$501,MATCH($B313,Jobs!$A$2:$A$501,0)),""))</f>
        <v/>
      </c>
      <c r="J313" s="16"/>
    </row>
    <row r="314" spans="1:10" x14ac:dyDescent="0.3">
      <c r="A314" s="15" t="str">
        <f t="shared" si="4"/>
        <v/>
      </c>
      <c r="B314" s="16"/>
      <c r="C314" s="15" t="str">
        <f>IF($B314="","",IFERROR(INDEX(Jobs!$B$2:$B$501,MATCH($B314,Jobs!$A$2:$A$501,0)),""))</f>
        <v/>
      </c>
      <c r="D314" s="17"/>
      <c r="E314" s="18"/>
      <c r="F314" s="16"/>
      <c r="G314" s="16"/>
      <c r="H314" s="19" t="str">
        <f>IF($B314="","",IFERROR(INDEX(Jobs!$I$2:$I$501,MATCH($B314,Jobs!$A$2:$A$501,0)),""))</f>
        <v/>
      </c>
      <c r="I314" s="19" t="str">
        <f>IF($B314="","",IFERROR(INDEX(Jobs!$K$2:$K$501,MATCH($B314,Jobs!$A$2:$A$501,0)),""))</f>
        <v/>
      </c>
      <c r="J314" s="16"/>
    </row>
    <row r="315" spans="1:10" x14ac:dyDescent="0.3">
      <c r="A315" s="15" t="str">
        <f t="shared" si="4"/>
        <v/>
      </c>
      <c r="B315" s="16"/>
      <c r="C315" s="15" t="str">
        <f>IF($B315="","",IFERROR(INDEX(Jobs!$B$2:$B$501,MATCH($B315,Jobs!$A$2:$A$501,0)),""))</f>
        <v/>
      </c>
      <c r="D315" s="17"/>
      <c r="E315" s="18"/>
      <c r="F315" s="16"/>
      <c r="G315" s="16"/>
      <c r="H315" s="19" t="str">
        <f>IF($B315="","",IFERROR(INDEX(Jobs!$I$2:$I$501,MATCH($B315,Jobs!$A$2:$A$501,0)),""))</f>
        <v/>
      </c>
      <c r="I315" s="19" t="str">
        <f>IF($B315="","",IFERROR(INDEX(Jobs!$K$2:$K$501,MATCH($B315,Jobs!$A$2:$A$501,0)),""))</f>
        <v/>
      </c>
      <c r="J315" s="16"/>
    </row>
    <row r="316" spans="1:10" x14ac:dyDescent="0.3">
      <c r="A316" s="15" t="str">
        <f t="shared" si="4"/>
        <v/>
      </c>
      <c r="B316" s="16"/>
      <c r="C316" s="15" t="str">
        <f>IF($B316="","",IFERROR(INDEX(Jobs!$B$2:$B$501,MATCH($B316,Jobs!$A$2:$A$501,0)),""))</f>
        <v/>
      </c>
      <c r="D316" s="17"/>
      <c r="E316" s="18"/>
      <c r="F316" s="16"/>
      <c r="G316" s="16"/>
      <c r="H316" s="19" t="str">
        <f>IF($B316="","",IFERROR(INDEX(Jobs!$I$2:$I$501,MATCH($B316,Jobs!$A$2:$A$501,0)),""))</f>
        <v/>
      </c>
      <c r="I316" s="19" t="str">
        <f>IF($B316="","",IFERROR(INDEX(Jobs!$K$2:$K$501,MATCH($B316,Jobs!$A$2:$A$501,0)),""))</f>
        <v/>
      </c>
      <c r="J316" s="16"/>
    </row>
    <row r="317" spans="1:10" x14ac:dyDescent="0.3">
      <c r="A317" s="15" t="str">
        <f t="shared" si="4"/>
        <v/>
      </c>
      <c r="B317" s="16"/>
      <c r="C317" s="15" t="str">
        <f>IF($B317="","",IFERROR(INDEX(Jobs!$B$2:$B$501,MATCH($B317,Jobs!$A$2:$A$501,0)),""))</f>
        <v/>
      </c>
      <c r="D317" s="17"/>
      <c r="E317" s="18"/>
      <c r="F317" s="16"/>
      <c r="G317" s="16"/>
      <c r="H317" s="19" t="str">
        <f>IF($B317="","",IFERROR(INDEX(Jobs!$I$2:$I$501,MATCH($B317,Jobs!$A$2:$A$501,0)),""))</f>
        <v/>
      </c>
      <c r="I317" s="19" t="str">
        <f>IF($B317="","",IFERROR(INDEX(Jobs!$K$2:$K$501,MATCH($B317,Jobs!$A$2:$A$501,0)),""))</f>
        <v/>
      </c>
      <c r="J317" s="16"/>
    </row>
    <row r="318" spans="1:10" x14ac:dyDescent="0.3">
      <c r="A318" s="15" t="str">
        <f t="shared" si="4"/>
        <v/>
      </c>
      <c r="B318" s="16"/>
      <c r="C318" s="15" t="str">
        <f>IF($B318="","",IFERROR(INDEX(Jobs!$B$2:$B$501,MATCH($B318,Jobs!$A$2:$A$501,0)),""))</f>
        <v/>
      </c>
      <c r="D318" s="17"/>
      <c r="E318" s="18"/>
      <c r="F318" s="16"/>
      <c r="G318" s="16"/>
      <c r="H318" s="19" t="str">
        <f>IF($B318="","",IFERROR(INDEX(Jobs!$I$2:$I$501,MATCH($B318,Jobs!$A$2:$A$501,0)),""))</f>
        <v/>
      </c>
      <c r="I318" s="19" t="str">
        <f>IF($B318="","",IFERROR(INDEX(Jobs!$K$2:$K$501,MATCH($B318,Jobs!$A$2:$A$501,0)),""))</f>
        <v/>
      </c>
      <c r="J318" s="16"/>
    </row>
    <row r="319" spans="1:10" x14ac:dyDescent="0.3">
      <c r="A319" s="15" t="str">
        <f t="shared" si="4"/>
        <v/>
      </c>
      <c r="B319" s="16"/>
      <c r="C319" s="15" t="str">
        <f>IF($B319="","",IFERROR(INDEX(Jobs!$B$2:$B$501,MATCH($B319,Jobs!$A$2:$A$501,0)),""))</f>
        <v/>
      </c>
      <c r="D319" s="17"/>
      <c r="E319" s="18"/>
      <c r="F319" s="16"/>
      <c r="G319" s="16"/>
      <c r="H319" s="19" t="str">
        <f>IF($B319="","",IFERROR(INDEX(Jobs!$I$2:$I$501,MATCH($B319,Jobs!$A$2:$A$501,0)),""))</f>
        <v/>
      </c>
      <c r="I319" s="19" t="str">
        <f>IF($B319="","",IFERROR(INDEX(Jobs!$K$2:$K$501,MATCH($B319,Jobs!$A$2:$A$501,0)),""))</f>
        <v/>
      </c>
      <c r="J319" s="16"/>
    </row>
    <row r="320" spans="1:10" x14ac:dyDescent="0.3">
      <c r="A320" s="15" t="str">
        <f t="shared" si="4"/>
        <v/>
      </c>
      <c r="B320" s="16"/>
      <c r="C320" s="15" t="str">
        <f>IF($B320="","",IFERROR(INDEX(Jobs!$B$2:$B$501,MATCH($B320,Jobs!$A$2:$A$501,0)),""))</f>
        <v/>
      </c>
      <c r="D320" s="17"/>
      <c r="E320" s="18"/>
      <c r="F320" s="16"/>
      <c r="G320" s="16"/>
      <c r="H320" s="19" t="str">
        <f>IF($B320="","",IFERROR(INDEX(Jobs!$I$2:$I$501,MATCH($B320,Jobs!$A$2:$A$501,0)),""))</f>
        <v/>
      </c>
      <c r="I320" s="19" t="str">
        <f>IF($B320="","",IFERROR(INDEX(Jobs!$K$2:$K$501,MATCH($B320,Jobs!$A$2:$A$501,0)),""))</f>
        <v/>
      </c>
      <c r="J320" s="16"/>
    </row>
    <row r="321" spans="1:10" x14ac:dyDescent="0.3">
      <c r="A321" s="15" t="str">
        <f t="shared" si="4"/>
        <v/>
      </c>
      <c r="B321" s="16"/>
      <c r="C321" s="15" t="str">
        <f>IF($B321="","",IFERROR(INDEX(Jobs!$B$2:$B$501,MATCH($B321,Jobs!$A$2:$A$501,0)),""))</f>
        <v/>
      </c>
      <c r="D321" s="17"/>
      <c r="E321" s="18"/>
      <c r="F321" s="16"/>
      <c r="G321" s="16"/>
      <c r="H321" s="19" t="str">
        <f>IF($B321="","",IFERROR(INDEX(Jobs!$I$2:$I$501,MATCH($B321,Jobs!$A$2:$A$501,0)),""))</f>
        <v/>
      </c>
      <c r="I321" s="19" t="str">
        <f>IF($B321="","",IFERROR(INDEX(Jobs!$K$2:$K$501,MATCH($B321,Jobs!$A$2:$A$501,0)),""))</f>
        <v/>
      </c>
      <c r="J321" s="16"/>
    </row>
    <row r="322" spans="1:10" x14ac:dyDescent="0.3">
      <c r="A322" s="15" t="str">
        <f t="shared" ref="A322:A385" si="5">IF(B322="","","PAY-"&amp;TEXT(ROW()-1,"0000"))</f>
        <v/>
      </c>
      <c r="B322" s="16"/>
      <c r="C322" s="15" t="str">
        <f>IF($B322="","",IFERROR(INDEX(Jobs!$B$2:$B$501,MATCH($B322,Jobs!$A$2:$A$501,0)),""))</f>
        <v/>
      </c>
      <c r="D322" s="17"/>
      <c r="E322" s="18"/>
      <c r="F322" s="16"/>
      <c r="G322" s="16"/>
      <c r="H322" s="19" t="str">
        <f>IF($B322="","",IFERROR(INDEX(Jobs!$I$2:$I$501,MATCH($B322,Jobs!$A$2:$A$501,0)),""))</f>
        <v/>
      </c>
      <c r="I322" s="19" t="str">
        <f>IF($B322="","",IFERROR(INDEX(Jobs!$K$2:$K$501,MATCH($B322,Jobs!$A$2:$A$501,0)),""))</f>
        <v/>
      </c>
      <c r="J322" s="16"/>
    </row>
    <row r="323" spans="1:10" x14ac:dyDescent="0.3">
      <c r="A323" s="15" t="str">
        <f t="shared" si="5"/>
        <v/>
      </c>
      <c r="B323" s="16"/>
      <c r="C323" s="15" t="str">
        <f>IF($B323="","",IFERROR(INDEX(Jobs!$B$2:$B$501,MATCH($B323,Jobs!$A$2:$A$501,0)),""))</f>
        <v/>
      </c>
      <c r="D323" s="17"/>
      <c r="E323" s="18"/>
      <c r="F323" s="16"/>
      <c r="G323" s="16"/>
      <c r="H323" s="19" t="str">
        <f>IF($B323="","",IFERROR(INDEX(Jobs!$I$2:$I$501,MATCH($B323,Jobs!$A$2:$A$501,0)),""))</f>
        <v/>
      </c>
      <c r="I323" s="19" t="str">
        <f>IF($B323="","",IFERROR(INDEX(Jobs!$K$2:$K$501,MATCH($B323,Jobs!$A$2:$A$501,0)),""))</f>
        <v/>
      </c>
      <c r="J323" s="16"/>
    </row>
    <row r="324" spans="1:10" x14ac:dyDescent="0.3">
      <c r="A324" s="15" t="str">
        <f t="shared" si="5"/>
        <v/>
      </c>
      <c r="B324" s="16"/>
      <c r="C324" s="15" t="str">
        <f>IF($B324="","",IFERROR(INDEX(Jobs!$B$2:$B$501,MATCH($B324,Jobs!$A$2:$A$501,0)),""))</f>
        <v/>
      </c>
      <c r="D324" s="17"/>
      <c r="E324" s="18"/>
      <c r="F324" s="16"/>
      <c r="G324" s="16"/>
      <c r="H324" s="19" t="str">
        <f>IF($B324="","",IFERROR(INDEX(Jobs!$I$2:$I$501,MATCH($B324,Jobs!$A$2:$A$501,0)),""))</f>
        <v/>
      </c>
      <c r="I324" s="19" t="str">
        <f>IF($B324="","",IFERROR(INDEX(Jobs!$K$2:$K$501,MATCH($B324,Jobs!$A$2:$A$501,0)),""))</f>
        <v/>
      </c>
      <c r="J324" s="16"/>
    </row>
    <row r="325" spans="1:10" x14ac:dyDescent="0.3">
      <c r="A325" s="15" t="str">
        <f t="shared" si="5"/>
        <v/>
      </c>
      <c r="B325" s="16"/>
      <c r="C325" s="15" t="str">
        <f>IF($B325="","",IFERROR(INDEX(Jobs!$B$2:$B$501,MATCH($B325,Jobs!$A$2:$A$501,0)),""))</f>
        <v/>
      </c>
      <c r="D325" s="17"/>
      <c r="E325" s="18"/>
      <c r="F325" s="16"/>
      <c r="G325" s="16"/>
      <c r="H325" s="19" t="str">
        <f>IF($B325="","",IFERROR(INDEX(Jobs!$I$2:$I$501,MATCH($B325,Jobs!$A$2:$A$501,0)),""))</f>
        <v/>
      </c>
      <c r="I325" s="19" t="str">
        <f>IF($B325="","",IFERROR(INDEX(Jobs!$K$2:$K$501,MATCH($B325,Jobs!$A$2:$A$501,0)),""))</f>
        <v/>
      </c>
      <c r="J325" s="16"/>
    </row>
    <row r="326" spans="1:10" x14ac:dyDescent="0.3">
      <c r="A326" s="15" t="str">
        <f t="shared" si="5"/>
        <v/>
      </c>
      <c r="B326" s="16"/>
      <c r="C326" s="15" t="str">
        <f>IF($B326="","",IFERROR(INDEX(Jobs!$B$2:$B$501,MATCH($B326,Jobs!$A$2:$A$501,0)),""))</f>
        <v/>
      </c>
      <c r="D326" s="17"/>
      <c r="E326" s="18"/>
      <c r="F326" s="16"/>
      <c r="G326" s="16"/>
      <c r="H326" s="19" t="str">
        <f>IF($B326="","",IFERROR(INDEX(Jobs!$I$2:$I$501,MATCH($B326,Jobs!$A$2:$A$501,0)),""))</f>
        <v/>
      </c>
      <c r="I326" s="19" t="str">
        <f>IF($B326="","",IFERROR(INDEX(Jobs!$K$2:$K$501,MATCH($B326,Jobs!$A$2:$A$501,0)),""))</f>
        <v/>
      </c>
      <c r="J326" s="16"/>
    </row>
    <row r="327" spans="1:10" x14ac:dyDescent="0.3">
      <c r="A327" s="15" t="str">
        <f t="shared" si="5"/>
        <v/>
      </c>
      <c r="B327" s="16"/>
      <c r="C327" s="15" t="str">
        <f>IF($B327="","",IFERROR(INDEX(Jobs!$B$2:$B$501,MATCH($B327,Jobs!$A$2:$A$501,0)),""))</f>
        <v/>
      </c>
      <c r="D327" s="17"/>
      <c r="E327" s="18"/>
      <c r="F327" s="16"/>
      <c r="G327" s="16"/>
      <c r="H327" s="19" t="str">
        <f>IF($B327="","",IFERROR(INDEX(Jobs!$I$2:$I$501,MATCH($B327,Jobs!$A$2:$A$501,0)),""))</f>
        <v/>
      </c>
      <c r="I327" s="19" t="str">
        <f>IF($B327="","",IFERROR(INDEX(Jobs!$K$2:$K$501,MATCH($B327,Jobs!$A$2:$A$501,0)),""))</f>
        <v/>
      </c>
      <c r="J327" s="16"/>
    </row>
    <row r="328" spans="1:10" x14ac:dyDescent="0.3">
      <c r="A328" s="15" t="str">
        <f t="shared" si="5"/>
        <v/>
      </c>
      <c r="B328" s="16"/>
      <c r="C328" s="15" t="str">
        <f>IF($B328="","",IFERROR(INDEX(Jobs!$B$2:$B$501,MATCH($B328,Jobs!$A$2:$A$501,0)),""))</f>
        <v/>
      </c>
      <c r="D328" s="17"/>
      <c r="E328" s="18"/>
      <c r="F328" s="16"/>
      <c r="G328" s="16"/>
      <c r="H328" s="19" t="str">
        <f>IF($B328="","",IFERROR(INDEX(Jobs!$I$2:$I$501,MATCH($B328,Jobs!$A$2:$A$501,0)),""))</f>
        <v/>
      </c>
      <c r="I328" s="19" t="str">
        <f>IF($B328="","",IFERROR(INDEX(Jobs!$K$2:$K$501,MATCH($B328,Jobs!$A$2:$A$501,0)),""))</f>
        <v/>
      </c>
      <c r="J328" s="16"/>
    </row>
    <row r="329" spans="1:10" x14ac:dyDescent="0.3">
      <c r="A329" s="15" t="str">
        <f t="shared" si="5"/>
        <v/>
      </c>
      <c r="B329" s="16"/>
      <c r="C329" s="15" t="str">
        <f>IF($B329="","",IFERROR(INDEX(Jobs!$B$2:$B$501,MATCH($B329,Jobs!$A$2:$A$501,0)),""))</f>
        <v/>
      </c>
      <c r="D329" s="17"/>
      <c r="E329" s="18"/>
      <c r="F329" s="16"/>
      <c r="G329" s="16"/>
      <c r="H329" s="19" t="str">
        <f>IF($B329="","",IFERROR(INDEX(Jobs!$I$2:$I$501,MATCH($B329,Jobs!$A$2:$A$501,0)),""))</f>
        <v/>
      </c>
      <c r="I329" s="19" t="str">
        <f>IF($B329="","",IFERROR(INDEX(Jobs!$K$2:$K$501,MATCH($B329,Jobs!$A$2:$A$501,0)),""))</f>
        <v/>
      </c>
      <c r="J329" s="16"/>
    </row>
    <row r="330" spans="1:10" x14ac:dyDescent="0.3">
      <c r="A330" s="15" t="str">
        <f t="shared" si="5"/>
        <v/>
      </c>
      <c r="B330" s="16"/>
      <c r="C330" s="15" t="str">
        <f>IF($B330="","",IFERROR(INDEX(Jobs!$B$2:$B$501,MATCH($B330,Jobs!$A$2:$A$501,0)),""))</f>
        <v/>
      </c>
      <c r="D330" s="17"/>
      <c r="E330" s="18"/>
      <c r="F330" s="16"/>
      <c r="G330" s="16"/>
      <c r="H330" s="19" t="str">
        <f>IF($B330="","",IFERROR(INDEX(Jobs!$I$2:$I$501,MATCH($B330,Jobs!$A$2:$A$501,0)),""))</f>
        <v/>
      </c>
      <c r="I330" s="19" t="str">
        <f>IF($B330="","",IFERROR(INDEX(Jobs!$K$2:$K$501,MATCH($B330,Jobs!$A$2:$A$501,0)),""))</f>
        <v/>
      </c>
      <c r="J330" s="16"/>
    </row>
    <row r="331" spans="1:10" x14ac:dyDescent="0.3">
      <c r="A331" s="15" t="str">
        <f t="shared" si="5"/>
        <v/>
      </c>
      <c r="B331" s="16"/>
      <c r="C331" s="15" t="str">
        <f>IF($B331="","",IFERROR(INDEX(Jobs!$B$2:$B$501,MATCH($B331,Jobs!$A$2:$A$501,0)),""))</f>
        <v/>
      </c>
      <c r="D331" s="17"/>
      <c r="E331" s="18"/>
      <c r="F331" s="16"/>
      <c r="G331" s="16"/>
      <c r="H331" s="19" t="str">
        <f>IF($B331="","",IFERROR(INDEX(Jobs!$I$2:$I$501,MATCH($B331,Jobs!$A$2:$A$501,0)),""))</f>
        <v/>
      </c>
      <c r="I331" s="19" t="str">
        <f>IF($B331="","",IFERROR(INDEX(Jobs!$K$2:$K$501,MATCH($B331,Jobs!$A$2:$A$501,0)),""))</f>
        <v/>
      </c>
      <c r="J331" s="16"/>
    </row>
    <row r="332" spans="1:10" x14ac:dyDescent="0.3">
      <c r="A332" s="15" t="str">
        <f t="shared" si="5"/>
        <v/>
      </c>
      <c r="B332" s="16"/>
      <c r="C332" s="15" t="str">
        <f>IF($B332="","",IFERROR(INDEX(Jobs!$B$2:$B$501,MATCH($B332,Jobs!$A$2:$A$501,0)),""))</f>
        <v/>
      </c>
      <c r="D332" s="17"/>
      <c r="E332" s="18"/>
      <c r="F332" s="16"/>
      <c r="G332" s="16"/>
      <c r="H332" s="19" t="str">
        <f>IF($B332="","",IFERROR(INDEX(Jobs!$I$2:$I$501,MATCH($B332,Jobs!$A$2:$A$501,0)),""))</f>
        <v/>
      </c>
      <c r="I332" s="19" t="str">
        <f>IF($B332="","",IFERROR(INDEX(Jobs!$K$2:$K$501,MATCH($B332,Jobs!$A$2:$A$501,0)),""))</f>
        <v/>
      </c>
      <c r="J332" s="16"/>
    </row>
    <row r="333" spans="1:10" x14ac:dyDescent="0.3">
      <c r="A333" s="15" t="str">
        <f t="shared" si="5"/>
        <v/>
      </c>
      <c r="B333" s="16"/>
      <c r="C333" s="15" t="str">
        <f>IF($B333="","",IFERROR(INDEX(Jobs!$B$2:$B$501,MATCH($B333,Jobs!$A$2:$A$501,0)),""))</f>
        <v/>
      </c>
      <c r="D333" s="17"/>
      <c r="E333" s="18"/>
      <c r="F333" s="16"/>
      <c r="G333" s="16"/>
      <c r="H333" s="19" t="str">
        <f>IF($B333="","",IFERROR(INDEX(Jobs!$I$2:$I$501,MATCH($B333,Jobs!$A$2:$A$501,0)),""))</f>
        <v/>
      </c>
      <c r="I333" s="19" t="str">
        <f>IF($B333="","",IFERROR(INDEX(Jobs!$K$2:$K$501,MATCH($B333,Jobs!$A$2:$A$501,0)),""))</f>
        <v/>
      </c>
      <c r="J333" s="16"/>
    </row>
    <row r="334" spans="1:10" x14ac:dyDescent="0.3">
      <c r="A334" s="15" t="str">
        <f t="shared" si="5"/>
        <v/>
      </c>
      <c r="B334" s="16"/>
      <c r="C334" s="15" t="str">
        <f>IF($B334="","",IFERROR(INDEX(Jobs!$B$2:$B$501,MATCH($B334,Jobs!$A$2:$A$501,0)),""))</f>
        <v/>
      </c>
      <c r="D334" s="17"/>
      <c r="E334" s="18"/>
      <c r="F334" s="16"/>
      <c r="G334" s="16"/>
      <c r="H334" s="19" t="str">
        <f>IF($B334="","",IFERROR(INDEX(Jobs!$I$2:$I$501,MATCH($B334,Jobs!$A$2:$A$501,0)),""))</f>
        <v/>
      </c>
      <c r="I334" s="19" t="str">
        <f>IF($B334="","",IFERROR(INDEX(Jobs!$K$2:$K$501,MATCH($B334,Jobs!$A$2:$A$501,0)),""))</f>
        <v/>
      </c>
      <c r="J334" s="16"/>
    </row>
    <row r="335" spans="1:10" x14ac:dyDescent="0.3">
      <c r="A335" s="15" t="str">
        <f t="shared" si="5"/>
        <v/>
      </c>
      <c r="B335" s="16"/>
      <c r="C335" s="15" t="str">
        <f>IF($B335="","",IFERROR(INDEX(Jobs!$B$2:$B$501,MATCH($B335,Jobs!$A$2:$A$501,0)),""))</f>
        <v/>
      </c>
      <c r="D335" s="17"/>
      <c r="E335" s="18"/>
      <c r="F335" s="16"/>
      <c r="G335" s="16"/>
      <c r="H335" s="19" t="str">
        <f>IF($B335="","",IFERROR(INDEX(Jobs!$I$2:$I$501,MATCH($B335,Jobs!$A$2:$A$501,0)),""))</f>
        <v/>
      </c>
      <c r="I335" s="19" t="str">
        <f>IF($B335="","",IFERROR(INDEX(Jobs!$K$2:$K$501,MATCH($B335,Jobs!$A$2:$A$501,0)),""))</f>
        <v/>
      </c>
      <c r="J335" s="16"/>
    </row>
    <row r="336" spans="1:10" x14ac:dyDescent="0.3">
      <c r="A336" s="15" t="str">
        <f t="shared" si="5"/>
        <v/>
      </c>
      <c r="B336" s="16"/>
      <c r="C336" s="15" t="str">
        <f>IF($B336="","",IFERROR(INDEX(Jobs!$B$2:$B$501,MATCH($B336,Jobs!$A$2:$A$501,0)),""))</f>
        <v/>
      </c>
      <c r="D336" s="17"/>
      <c r="E336" s="18"/>
      <c r="F336" s="16"/>
      <c r="G336" s="16"/>
      <c r="H336" s="19" t="str">
        <f>IF($B336="","",IFERROR(INDEX(Jobs!$I$2:$I$501,MATCH($B336,Jobs!$A$2:$A$501,0)),""))</f>
        <v/>
      </c>
      <c r="I336" s="19" t="str">
        <f>IF($B336="","",IFERROR(INDEX(Jobs!$K$2:$K$501,MATCH($B336,Jobs!$A$2:$A$501,0)),""))</f>
        <v/>
      </c>
      <c r="J336" s="16"/>
    </row>
    <row r="337" spans="1:10" x14ac:dyDescent="0.3">
      <c r="A337" s="15" t="str">
        <f t="shared" si="5"/>
        <v/>
      </c>
      <c r="B337" s="16"/>
      <c r="C337" s="15" t="str">
        <f>IF($B337="","",IFERROR(INDEX(Jobs!$B$2:$B$501,MATCH($B337,Jobs!$A$2:$A$501,0)),""))</f>
        <v/>
      </c>
      <c r="D337" s="17"/>
      <c r="E337" s="18"/>
      <c r="F337" s="16"/>
      <c r="G337" s="16"/>
      <c r="H337" s="19" t="str">
        <f>IF($B337="","",IFERROR(INDEX(Jobs!$I$2:$I$501,MATCH($B337,Jobs!$A$2:$A$501,0)),""))</f>
        <v/>
      </c>
      <c r="I337" s="19" t="str">
        <f>IF($B337="","",IFERROR(INDEX(Jobs!$K$2:$K$501,MATCH($B337,Jobs!$A$2:$A$501,0)),""))</f>
        <v/>
      </c>
      <c r="J337" s="16"/>
    </row>
    <row r="338" spans="1:10" x14ac:dyDescent="0.3">
      <c r="A338" s="15" t="str">
        <f t="shared" si="5"/>
        <v/>
      </c>
      <c r="B338" s="16"/>
      <c r="C338" s="15" t="str">
        <f>IF($B338="","",IFERROR(INDEX(Jobs!$B$2:$B$501,MATCH($B338,Jobs!$A$2:$A$501,0)),""))</f>
        <v/>
      </c>
      <c r="D338" s="17"/>
      <c r="E338" s="18"/>
      <c r="F338" s="16"/>
      <c r="G338" s="16"/>
      <c r="H338" s="19" t="str">
        <f>IF($B338="","",IFERROR(INDEX(Jobs!$I$2:$I$501,MATCH($B338,Jobs!$A$2:$A$501,0)),""))</f>
        <v/>
      </c>
      <c r="I338" s="19" t="str">
        <f>IF($B338="","",IFERROR(INDEX(Jobs!$K$2:$K$501,MATCH($B338,Jobs!$A$2:$A$501,0)),""))</f>
        <v/>
      </c>
      <c r="J338" s="16"/>
    </row>
    <row r="339" spans="1:10" x14ac:dyDescent="0.3">
      <c r="A339" s="15" t="str">
        <f t="shared" si="5"/>
        <v/>
      </c>
      <c r="B339" s="16"/>
      <c r="C339" s="15" t="str">
        <f>IF($B339="","",IFERROR(INDEX(Jobs!$B$2:$B$501,MATCH($B339,Jobs!$A$2:$A$501,0)),""))</f>
        <v/>
      </c>
      <c r="D339" s="17"/>
      <c r="E339" s="18"/>
      <c r="F339" s="16"/>
      <c r="G339" s="16"/>
      <c r="H339" s="19" t="str">
        <f>IF($B339="","",IFERROR(INDEX(Jobs!$I$2:$I$501,MATCH($B339,Jobs!$A$2:$A$501,0)),""))</f>
        <v/>
      </c>
      <c r="I339" s="19" t="str">
        <f>IF($B339="","",IFERROR(INDEX(Jobs!$K$2:$K$501,MATCH($B339,Jobs!$A$2:$A$501,0)),""))</f>
        <v/>
      </c>
      <c r="J339" s="16"/>
    </row>
    <row r="340" spans="1:10" x14ac:dyDescent="0.3">
      <c r="A340" s="15" t="str">
        <f t="shared" si="5"/>
        <v/>
      </c>
      <c r="B340" s="16"/>
      <c r="C340" s="15" t="str">
        <f>IF($B340="","",IFERROR(INDEX(Jobs!$B$2:$B$501,MATCH($B340,Jobs!$A$2:$A$501,0)),""))</f>
        <v/>
      </c>
      <c r="D340" s="17"/>
      <c r="E340" s="18"/>
      <c r="F340" s="16"/>
      <c r="G340" s="16"/>
      <c r="H340" s="19" t="str">
        <f>IF($B340="","",IFERROR(INDEX(Jobs!$I$2:$I$501,MATCH($B340,Jobs!$A$2:$A$501,0)),""))</f>
        <v/>
      </c>
      <c r="I340" s="19" t="str">
        <f>IF($B340="","",IFERROR(INDEX(Jobs!$K$2:$K$501,MATCH($B340,Jobs!$A$2:$A$501,0)),""))</f>
        <v/>
      </c>
      <c r="J340" s="16"/>
    </row>
    <row r="341" spans="1:10" x14ac:dyDescent="0.3">
      <c r="A341" s="15" t="str">
        <f t="shared" si="5"/>
        <v/>
      </c>
      <c r="B341" s="16"/>
      <c r="C341" s="15" t="str">
        <f>IF($B341="","",IFERROR(INDEX(Jobs!$B$2:$B$501,MATCH($B341,Jobs!$A$2:$A$501,0)),""))</f>
        <v/>
      </c>
      <c r="D341" s="17"/>
      <c r="E341" s="18"/>
      <c r="F341" s="16"/>
      <c r="G341" s="16"/>
      <c r="H341" s="19" t="str">
        <f>IF($B341="","",IFERROR(INDEX(Jobs!$I$2:$I$501,MATCH($B341,Jobs!$A$2:$A$501,0)),""))</f>
        <v/>
      </c>
      <c r="I341" s="19" t="str">
        <f>IF($B341="","",IFERROR(INDEX(Jobs!$K$2:$K$501,MATCH($B341,Jobs!$A$2:$A$501,0)),""))</f>
        <v/>
      </c>
      <c r="J341" s="16"/>
    </row>
    <row r="342" spans="1:10" x14ac:dyDescent="0.3">
      <c r="A342" s="15" t="str">
        <f t="shared" si="5"/>
        <v/>
      </c>
      <c r="B342" s="16"/>
      <c r="C342" s="15" t="str">
        <f>IF($B342="","",IFERROR(INDEX(Jobs!$B$2:$B$501,MATCH($B342,Jobs!$A$2:$A$501,0)),""))</f>
        <v/>
      </c>
      <c r="D342" s="17"/>
      <c r="E342" s="18"/>
      <c r="F342" s="16"/>
      <c r="G342" s="16"/>
      <c r="H342" s="19" t="str">
        <f>IF($B342="","",IFERROR(INDEX(Jobs!$I$2:$I$501,MATCH($B342,Jobs!$A$2:$A$501,0)),""))</f>
        <v/>
      </c>
      <c r="I342" s="19" t="str">
        <f>IF($B342="","",IFERROR(INDEX(Jobs!$K$2:$K$501,MATCH($B342,Jobs!$A$2:$A$501,0)),""))</f>
        <v/>
      </c>
      <c r="J342" s="16"/>
    </row>
    <row r="343" spans="1:10" x14ac:dyDescent="0.3">
      <c r="A343" s="15" t="str">
        <f t="shared" si="5"/>
        <v/>
      </c>
      <c r="B343" s="16"/>
      <c r="C343" s="15" t="str">
        <f>IF($B343="","",IFERROR(INDEX(Jobs!$B$2:$B$501,MATCH($B343,Jobs!$A$2:$A$501,0)),""))</f>
        <v/>
      </c>
      <c r="D343" s="17"/>
      <c r="E343" s="18"/>
      <c r="F343" s="16"/>
      <c r="G343" s="16"/>
      <c r="H343" s="19" t="str">
        <f>IF($B343="","",IFERROR(INDEX(Jobs!$I$2:$I$501,MATCH($B343,Jobs!$A$2:$A$501,0)),""))</f>
        <v/>
      </c>
      <c r="I343" s="19" t="str">
        <f>IF($B343="","",IFERROR(INDEX(Jobs!$K$2:$K$501,MATCH($B343,Jobs!$A$2:$A$501,0)),""))</f>
        <v/>
      </c>
      <c r="J343" s="16"/>
    </row>
    <row r="344" spans="1:10" x14ac:dyDescent="0.3">
      <c r="A344" s="15" t="str">
        <f t="shared" si="5"/>
        <v/>
      </c>
      <c r="B344" s="16"/>
      <c r="C344" s="15" t="str">
        <f>IF($B344="","",IFERROR(INDEX(Jobs!$B$2:$B$501,MATCH($B344,Jobs!$A$2:$A$501,0)),""))</f>
        <v/>
      </c>
      <c r="D344" s="17"/>
      <c r="E344" s="18"/>
      <c r="F344" s="16"/>
      <c r="G344" s="16"/>
      <c r="H344" s="19" t="str">
        <f>IF($B344="","",IFERROR(INDEX(Jobs!$I$2:$I$501,MATCH($B344,Jobs!$A$2:$A$501,0)),""))</f>
        <v/>
      </c>
      <c r="I344" s="19" t="str">
        <f>IF($B344="","",IFERROR(INDEX(Jobs!$K$2:$K$501,MATCH($B344,Jobs!$A$2:$A$501,0)),""))</f>
        <v/>
      </c>
      <c r="J344" s="16"/>
    </row>
    <row r="345" spans="1:10" x14ac:dyDescent="0.3">
      <c r="A345" s="15" t="str">
        <f t="shared" si="5"/>
        <v/>
      </c>
      <c r="B345" s="16"/>
      <c r="C345" s="15" t="str">
        <f>IF($B345="","",IFERROR(INDEX(Jobs!$B$2:$B$501,MATCH($B345,Jobs!$A$2:$A$501,0)),""))</f>
        <v/>
      </c>
      <c r="D345" s="17"/>
      <c r="E345" s="18"/>
      <c r="F345" s="16"/>
      <c r="G345" s="16"/>
      <c r="H345" s="19" t="str">
        <f>IF($B345="","",IFERROR(INDEX(Jobs!$I$2:$I$501,MATCH($B345,Jobs!$A$2:$A$501,0)),""))</f>
        <v/>
      </c>
      <c r="I345" s="19" t="str">
        <f>IF($B345="","",IFERROR(INDEX(Jobs!$K$2:$K$501,MATCH($B345,Jobs!$A$2:$A$501,0)),""))</f>
        <v/>
      </c>
      <c r="J345" s="16"/>
    </row>
    <row r="346" spans="1:10" x14ac:dyDescent="0.3">
      <c r="A346" s="15" t="str">
        <f t="shared" si="5"/>
        <v/>
      </c>
      <c r="B346" s="16"/>
      <c r="C346" s="15" t="str">
        <f>IF($B346="","",IFERROR(INDEX(Jobs!$B$2:$B$501,MATCH($B346,Jobs!$A$2:$A$501,0)),""))</f>
        <v/>
      </c>
      <c r="D346" s="17"/>
      <c r="E346" s="18"/>
      <c r="F346" s="16"/>
      <c r="G346" s="16"/>
      <c r="H346" s="19" t="str">
        <f>IF($B346="","",IFERROR(INDEX(Jobs!$I$2:$I$501,MATCH($B346,Jobs!$A$2:$A$501,0)),""))</f>
        <v/>
      </c>
      <c r="I346" s="19" t="str">
        <f>IF($B346="","",IFERROR(INDEX(Jobs!$K$2:$K$501,MATCH($B346,Jobs!$A$2:$A$501,0)),""))</f>
        <v/>
      </c>
      <c r="J346" s="16"/>
    </row>
    <row r="347" spans="1:10" x14ac:dyDescent="0.3">
      <c r="A347" s="15" t="str">
        <f t="shared" si="5"/>
        <v/>
      </c>
      <c r="B347" s="16"/>
      <c r="C347" s="15" t="str">
        <f>IF($B347="","",IFERROR(INDEX(Jobs!$B$2:$B$501,MATCH($B347,Jobs!$A$2:$A$501,0)),""))</f>
        <v/>
      </c>
      <c r="D347" s="17"/>
      <c r="E347" s="18"/>
      <c r="F347" s="16"/>
      <c r="G347" s="16"/>
      <c r="H347" s="19" t="str">
        <f>IF($B347="","",IFERROR(INDEX(Jobs!$I$2:$I$501,MATCH($B347,Jobs!$A$2:$A$501,0)),""))</f>
        <v/>
      </c>
      <c r="I347" s="19" t="str">
        <f>IF($B347="","",IFERROR(INDEX(Jobs!$K$2:$K$501,MATCH($B347,Jobs!$A$2:$A$501,0)),""))</f>
        <v/>
      </c>
      <c r="J347" s="16"/>
    </row>
    <row r="348" spans="1:10" x14ac:dyDescent="0.3">
      <c r="A348" s="15" t="str">
        <f t="shared" si="5"/>
        <v/>
      </c>
      <c r="B348" s="16"/>
      <c r="C348" s="15" t="str">
        <f>IF($B348="","",IFERROR(INDEX(Jobs!$B$2:$B$501,MATCH($B348,Jobs!$A$2:$A$501,0)),""))</f>
        <v/>
      </c>
      <c r="D348" s="17"/>
      <c r="E348" s="18"/>
      <c r="F348" s="16"/>
      <c r="G348" s="16"/>
      <c r="H348" s="19" t="str">
        <f>IF($B348="","",IFERROR(INDEX(Jobs!$I$2:$I$501,MATCH($B348,Jobs!$A$2:$A$501,0)),""))</f>
        <v/>
      </c>
      <c r="I348" s="19" t="str">
        <f>IF($B348="","",IFERROR(INDEX(Jobs!$K$2:$K$501,MATCH($B348,Jobs!$A$2:$A$501,0)),""))</f>
        <v/>
      </c>
      <c r="J348" s="16"/>
    </row>
    <row r="349" spans="1:10" x14ac:dyDescent="0.3">
      <c r="A349" s="15" t="str">
        <f t="shared" si="5"/>
        <v/>
      </c>
      <c r="B349" s="16"/>
      <c r="C349" s="15" t="str">
        <f>IF($B349="","",IFERROR(INDEX(Jobs!$B$2:$B$501,MATCH($B349,Jobs!$A$2:$A$501,0)),""))</f>
        <v/>
      </c>
      <c r="D349" s="17"/>
      <c r="E349" s="18"/>
      <c r="F349" s="16"/>
      <c r="G349" s="16"/>
      <c r="H349" s="19" t="str">
        <f>IF($B349="","",IFERROR(INDEX(Jobs!$I$2:$I$501,MATCH($B349,Jobs!$A$2:$A$501,0)),""))</f>
        <v/>
      </c>
      <c r="I349" s="19" t="str">
        <f>IF($B349="","",IFERROR(INDEX(Jobs!$K$2:$K$501,MATCH($B349,Jobs!$A$2:$A$501,0)),""))</f>
        <v/>
      </c>
      <c r="J349" s="16"/>
    </row>
    <row r="350" spans="1:10" x14ac:dyDescent="0.3">
      <c r="A350" s="15" t="str">
        <f t="shared" si="5"/>
        <v/>
      </c>
      <c r="B350" s="16"/>
      <c r="C350" s="15" t="str">
        <f>IF($B350="","",IFERROR(INDEX(Jobs!$B$2:$B$501,MATCH($B350,Jobs!$A$2:$A$501,0)),""))</f>
        <v/>
      </c>
      <c r="D350" s="17"/>
      <c r="E350" s="18"/>
      <c r="F350" s="16"/>
      <c r="G350" s="16"/>
      <c r="H350" s="19" t="str">
        <f>IF($B350="","",IFERROR(INDEX(Jobs!$I$2:$I$501,MATCH($B350,Jobs!$A$2:$A$501,0)),""))</f>
        <v/>
      </c>
      <c r="I350" s="19" t="str">
        <f>IF($B350="","",IFERROR(INDEX(Jobs!$K$2:$K$501,MATCH($B350,Jobs!$A$2:$A$501,0)),""))</f>
        <v/>
      </c>
      <c r="J350" s="16"/>
    </row>
    <row r="351" spans="1:10" x14ac:dyDescent="0.3">
      <c r="A351" s="15" t="str">
        <f t="shared" si="5"/>
        <v/>
      </c>
      <c r="B351" s="16"/>
      <c r="C351" s="15" t="str">
        <f>IF($B351="","",IFERROR(INDEX(Jobs!$B$2:$B$501,MATCH($B351,Jobs!$A$2:$A$501,0)),""))</f>
        <v/>
      </c>
      <c r="D351" s="17"/>
      <c r="E351" s="18"/>
      <c r="F351" s="16"/>
      <c r="G351" s="16"/>
      <c r="H351" s="19" t="str">
        <f>IF($B351="","",IFERROR(INDEX(Jobs!$I$2:$I$501,MATCH($B351,Jobs!$A$2:$A$501,0)),""))</f>
        <v/>
      </c>
      <c r="I351" s="19" t="str">
        <f>IF($B351="","",IFERROR(INDEX(Jobs!$K$2:$K$501,MATCH($B351,Jobs!$A$2:$A$501,0)),""))</f>
        <v/>
      </c>
      <c r="J351" s="16"/>
    </row>
    <row r="352" spans="1:10" x14ac:dyDescent="0.3">
      <c r="A352" s="15" t="str">
        <f t="shared" si="5"/>
        <v/>
      </c>
      <c r="B352" s="16"/>
      <c r="C352" s="15" t="str">
        <f>IF($B352="","",IFERROR(INDEX(Jobs!$B$2:$B$501,MATCH($B352,Jobs!$A$2:$A$501,0)),""))</f>
        <v/>
      </c>
      <c r="D352" s="17"/>
      <c r="E352" s="18"/>
      <c r="F352" s="16"/>
      <c r="G352" s="16"/>
      <c r="H352" s="19" t="str">
        <f>IF($B352="","",IFERROR(INDEX(Jobs!$I$2:$I$501,MATCH($B352,Jobs!$A$2:$A$501,0)),""))</f>
        <v/>
      </c>
      <c r="I352" s="19" t="str">
        <f>IF($B352="","",IFERROR(INDEX(Jobs!$K$2:$K$501,MATCH($B352,Jobs!$A$2:$A$501,0)),""))</f>
        <v/>
      </c>
      <c r="J352" s="16"/>
    </row>
    <row r="353" spans="1:10" x14ac:dyDescent="0.3">
      <c r="A353" s="15" t="str">
        <f t="shared" si="5"/>
        <v/>
      </c>
      <c r="B353" s="16"/>
      <c r="C353" s="15" t="str">
        <f>IF($B353="","",IFERROR(INDEX(Jobs!$B$2:$B$501,MATCH($B353,Jobs!$A$2:$A$501,0)),""))</f>
        <v/>
      </c>
      <c r="D353" s="17"/>
      <c r="E353" s="18"/>
      <c r="F353" s="16"/>
      <c r="G353" s="16"/>
      <c r="H353" s="19" t="str">
        <f>IF($B353="","",IFERROR(INDEX(Jobs!$I$2:$I$501,MATCH($B353,Jobs!$A$2:$A$501,0)),""))</f>
        <v/>
      </c>
      <c r="I353" s="19" t="str">
        <f>IF($B353="","",IFERROR(INDEX(Jobs!$K$2:$K$501,MATCH($B353,Jobs!$A$2:$A$501,0)),""))</f>
        <v/>
      </c>
      <c r="J353" s="16"/>
    </row>
    <row r="354" spans="1:10" x14ac:dyDescent="0.3">
      <c r="A354" s="15" t="str">
        <f t="shared" si="5"/>
        <v/>
      </c>
      <c r="B354" s="16"/>
      <c r="C354" s="15" t="str">
        <f>IF($B354="","",IFERROR(INDEX(Jobs!$B$2:$B$501,MATCH($B354,Jobs!$A$2:$A$501,0)),""))</f>
        <v/>
      </c>
      <c r="D354" s="17"/>
      <c r="E354" s="18"/>
      <c r="F354" s="16"/>
      <c r="G354" s="16"/>
      <c r="H354" s="19" t="str">
        <f>IF($B354="","",IFERROR(INDEX(Jobs!$I$2:$I$501,MATCH($B354,Jobs!$A$2:$A$501,0)),""))</f>
        <v/>
      </c>
      <c r="I354" s="19" t="str">
        <f>IF($B354="","",IFERROR(INDEX(Jobs!$K$2:$K$501,MATCH($B354,Jobs!$A$2:$A$501,0)),""))</f>
        <v/>
      </c>
      <c r="J354" s="16"/>
    </row>
    <row r="355" spans="1:10" x14ac:dyDescent="0.3">
      <c r="A355" s="15" t="str">
        <f t="shared" si="5"/>
        <v/>
      </c>
      <c r="B355" s="16"/>
      <c r="C355" s="15" t="str">
        <f>IF($B355="","",IFERROR(INDEX(Jobs!$B$2:$B$501,MATCH($B355,Jobs!$A$2:$A$501,0)),""))</f>
        <v/>
      </c>
      <c r="D355" s="17"/>
      <c r="E355" s="18"/>
      <c r="F355" s="16"/>
      <c r="G355" s="16"/>
      <c r="H355" s="19" t="str">
        <f>IF($B355="","",IFERROR(INDEX(Jobs!$I$2:$I$501,MATCH($B355,Jobs!$A$2:$A$501,0)),""))</f>
        <v/>
      </c>
      <c r="I355" s="19" t="str">
        <f>IF($B355="","",IFERROR(INDEX(Jobs!$K$2:$K$501,MATCH($B355,Jobs!$A$2:$A$501,0)),""))</f>
        <v/>
      </c>
      <c r="J355" s="16"/>
    </row>
    <row r="356" spans="1:10" x14ac:dyDescent="0.3">
      <c r="A356" s="15" t="str">
        <f t="shared" si="5"/>
        <v/>
      </c>
      <c r="B356" s="16"/>
      <c r="C356" s="15" t="str">
        <f>IF($B356="","",IFERROR(INDEX(Jobs!$B$2:$B$501,MATCH($B356,Jobs!$A$2:$A$501,0)),""))</f>
        <v/>
      </c>
      <c r="D356" s="17"/>
      <c r="E356" s="18"/>
      <c r="F356" s="16"/>
      <c r="G356" s="16"/>
      <c r="H356" s="19" t="str">
        <f>IF($B356="","",IFERROR(INDEX(Jobs!$I$2:$I$501,MATCH($B356,Jobs!$A$2:$A$501,0)),""))</f>
        <v/>
      </c>
      <c r="I356" s="19" t="str">
        <f>IF($B356="","",IFERROR(INDEX(Jobs!$K$2:$K$501,MATCH($B356,Jobs!$A$2:$A$501,0)),""))</f>
        <v/>
      </c>
      <c r="J356" s="16"/>
    </row>
    <row r="357" spans="1:10" x14ac:dyDescent="0.3">
      <c r="A357" s="15" t="str">
        <f t="shared" si="5"/>
        <v/>
      </c>
      <c r="B357" s="16"/>
      <c r="C357" s="15" t="str">
        <f>IF($B357="","",IFERROR(INDEX(Jobs!$B$2:$B$501,MATCH($B357,Jobs!$A$2:$A$501,0)),""))</f>
        <v/>
      </c>
      <c r="D357" s="17"/>
      <c r="E357" s="18"/>
      <c r="F357" s="16"/>
      <c r="G357" s="16"/>
      <c r="H357" s="19" t="str">
        <f>IF($B357="","",IFERROR(INDEX(Jobs!$I$2:$I$501,MATCH($B357,Jobs!$A$2:$A$501,0)),""))</f>
        <v/>
      </c>
      <c r="I357" s="19" t="str">
        <f>IF($B357="","",IFERROR(INDEX(Jobs!$K$2:$K$501,MATCH($B357,Jobs!$A$2:$A$501,0)),""))</f>
        <v/>
      </c>
      <c r="J357" s="16"/>
    </row>
    <row r="358" spans="1:10" x14ac:dyDescent="0.3">
      <c r="A358" s="15" t="str">
        <f t="shared" si="5"/>
        <v/>
      </c>
      <c r="B358" s="16"/>
      <c r="C358" s="15" t="str">
        <f>IF($B358="","",IFERROR(INDEX(Jobs!$B$2:$B$501,MATCH($B358,Jobs!$A$2:$A$501,0)),""))</f>
        <v/>
      </c>
      <c r="D358" s="17"/>
      <c r="E358" s="18"/>
      <c r="F358" s="16"/>
      <c r="G358" s="16"/>
      <c r="H358" s="19" t="str">
        <f>IF($B358="","",IFERROR(INDEX(Jobs!$I$2:$I$501,MATCH($B358,Jobs!$A$2:$A$501,0)),""))</f>
        <v/>
      </c>
      <c r="I358" s="19" t="str">
        <f>IF($B358="","",IFERROR(INDEX(Jobs!$K$2:$K$501,MATCH($B358,Jobs!$A$2:$A$501,0)),""))</f>
        <v/>
      </c>
      <c r="J358" s="16"/>
    </row>
    <row r="359" spans="1:10" x14ac:dyDescent="0.3">
      <c r="A359" s="15" t="str">
        <f t="shared" si="5"/>
        <v/>
      </c>
      <c r="B359" s="16"/>
      <c r="C359" s="15" t="str">
        <f>IF($B359="","",IFERROR(INDEX(Jobs!$B$2:$B$501,MATCH($B359,Jobs!$A$2:$A$501,0)),""))</f>
        <v/>
      </c>
      <c r="D359" s="17"/>
      <c r="E359" s="18"/>
      <c r="F359" s="16"/>
      <c r="G359" s="16"/>
      <c r="H359" s="19" t="str">
        <f>IF($B359="","",IFERROR(INDEX(Jobs!$I$2:$I$501,MATCH($B359,Jobs!$A$2:$A$501,0)),""))</f>
        <v/>
      </c>
      <c r="I359" s="19" t="str">
        <f>IF($B359="","",IFERROR(INDEX(Jobs!$K$2:$K$501,MATCH($B359,Jobs!$A$2:$A$501,0)),""))</f>
        <v/>
      </c>
      <c r="J359" s="16"/>
    </row>
    <row r="360" spans="1:10" x14ac:dyDescent="0.3">
      <c r="A360" s="15" t="str">
        <f t="shared" si="5"/>
        <v/>
      </c>
      <c r="B360" s="16"/>
      <c r="C360" s="15" t="str">
        <f>IF($B360="","",IFERROR(INDEX(Jobs!$B$2:$B$501,MATCH($B360,Jobs!$A$2:$A$501,0)),""))</f>
        <v/>
      </c>
      <c r="D360" s="17"/>
      <c r="E360" s="18"/>
      <c r="F360" s="16"/>
      <c r="G360" s="16"/>
      <c r="H360" s="19" t="str">
        <f>IF($B360="","",IFERROR(INDEX(Jobs!$I$2:$I$501,MATCH($B360,Jobs!$A$2:$A$501,0)),""))</f>
        <v/>
      </c>
      <c r="I360" s="19" t="str">
        <f>IF($B360="","",IFERROR(INDEX(Jobs!$K$2:$K$501,MATCH($B360,Jobs!$A$2:$A$501,0)),""))</f>
        <v/>
      </c>
      <c r="J360" s="16"/>
    </row>
    <row r="361" spans="1:10" x14ac:dyDescent="0.3">
      <c r="A361" s="15" t="str">
        <f t="shared" si="5"/>
        <v/>
      </c>
      <c r="B361" s="16"/>
      <c r="C361" s="15" t="str">
        <f>IF($B361="","",IFERROR(INDEX(Jobs!$B$2:$B$501,MATCH($B361,Jobs!$A$2:$A$501,0)),""))</f>
        <v/>
      </c>
      <c r="D361" s="17"/>
      <c r="E361" s="18"/>
      <c r="F361" s="16"/>
      <c r="G361" s="16"/>
      <c r="H361" s="19" t="str">
        <f>IF($B361="","",IFERROR(INDEX(Jobs!$I$2:$I$501,MATCH($B361,Jobs!$A$2:$A$501,0)),""))</f>
        <v/>
      </c>
      <c r="I361" s="19" t="str">
        <f>IF($B361="","",IFERROR(INDEX(Jobs!$K$2:$K$501,MATCH($B361,Jobs!$A$2:$A$501,0)),""))</f>
        <v/>
      </c>
      <c r="J361" s="16"/>
    </row>
    <row r="362" spans="1:10" x14ac:dyDescent="0.3">
      <c r="A362" s="15" t="str">
        <f t="shared" si="5"/>
        <v/>
      </c>
      <c r="B362" s="16"/>
      <c r="C362" s="15" t="str">
        <f>IF($B362="","",IFERROR(INDEX(Jobs!$B$2:$B$501,MATCH($B362,Jobs!$A$2:$A$501,0)),""))</f>
        <v/>
      </c>
      <c r="D362" s="17"/>
      <c r="E362" s="18"/>
      <c r="F362" s="16"/>
      <c r="G362" s="16"/>
      <c r="H362" s="19" t="str">
        <f>IF($B362="","",IFERROR(INDEX(Jobs!$I$2:$I$501,MATCH($B362,Jobs!$A$2:$A$501,0)),""))</f>
        <v/>
      </c>
      <c r="I362" s="19" t="str">
        <f>IF($B362="","",IFERROR(INDEX(Jobs!$K$2:$K$501,MATCH($B362,Jobs!$A$2:$A$501,0)),""))</f>
        <v/>
      </c>
      <c r="J362" s="16"/>
    </row>
    <row r="363" spans="1:10" x14ac:dyDescent="0.3">
      <c r="A363" s="15" t="str">
        <f t="shared" si="5"/>
        <v/>
      </c>
      <c r="B363" s="16"/>
      <c r="C363" s="15" t="str">
        <f>IF($B363="","",IFERROR(INDEX(Jobs!$B$2:$B$501,MATCH($B363,Jobs!$A$2:$A$501,0)),""))</f>
        <v/>
      </c>
      <c r="D363" s="17"/>
      <c r="E363" s="18"/>
      <c r="F363" s="16"/>
      <c r="G363" s="16"/>
      <c r="H363" s="19" t="str">
        <f>IF($B363="","",IFERROR(INDEX(Jobs!$I$2:$I$501,MATCH($B363,Jobs!$A$2:$A$501,0)),""))</f>
        <v/>
      </c>
      <c r="I363" s="19" t="str">
        <f>IF($B363="","",IFERROR(INDEX(Jobs!$K$2:$K$501,MATCH($B363,Jobs!$A$2:$A$501,0)),""))</f>
        <v/>
      </c>
      <c r="J363" s="16"/>
    </row>
    <row r="364" spans="1:10" x14ac:dyDescent="0.3">
      <c r="A364" s="15" t="str">
        <f t="shared" si="5"/>
        <v/>
      </c>
      <c r="B364" s="16"/>
      <c r="C364" s="15" t="str">
        <f>IF($B364="","",IFERROR(INDEX(Jobs!$B$2:$B$501,MATCH($B364,Jobs!$A$2:$A$501,0)),""))</f>
        <v/>
      </c>
      <c r="D364" s="17"/>
      <c r="E364" s="18"/>
      <c r="F364" s="16"/>
      <c r="G364" s="16"/>
      <c r="H364" s="19" t="str">
        <f>IF($B364="","",IFERROR(INDEX(Jobs!$I$2:$I$501,MATCH($B364,Jobs!$A$2:$A$501,0)),""))</f>
        <v/>
      </c>
      <c r="I364" s="19" t="str">
        <f>IF($B364="","",IFERROR(INDEX(Jobs!$K$2:$K$501,MATCH($B364,Jobs!$A$2:$A$501,0)),""))</f>
        <v/>
      </c>
      <c r="J364" s="16"/>
    </row>
    <row r="365" spans="1:10" x14ac:dyDescent="0.3">
      <c r="A365" s="15" t="str">
        <f t="shared" si="5"/>
        <v/>
      </c>
      <c r="B365" s="16"/>
      <c r="C365" s="15" t="str">
        <f>IF($B365="","",IFERROR(INDEX(Jobs!$B$2:$B$501,MATCH($B365,Jobs!$A$2:$A$501,0)),""))</f>
        <v/>
      </c>
      <c r="D365" s="17"/>
      <c r="E365" s="18"/>
      <c r="F365" s="16"/>
      <c r="G365" s="16"/>
      <c r="H365" s="19" t="str">
        <f>IF($B365="","",IFERROR(INDEX(Jobs!$I$2:$I$501,MATCH($B365,Jobs!$A$2:$A$501,0)),""))</f>
        <v/>
      </c>
      <c r="I365" s="19" t="str">
        <f>IF($B365="","",IFERROR(INDEX(Jobs!$K$2:$K$501,MATCH($B365,Jobs!$A$2:$A$501,0)),""))</f>
        <v/>
      </c>
      <c r="J365" s="16"/>
    </row>
    <row r="366" spans="1:10" x14ac:dyDescent="0.3">
      <c r="A366" s="15" t="str">
        <f t="shared" si="5"/>
        <v/>
      </c>
      <c r="B366" s="16"/>
      <c r="C366" s="15" t="str">
        <f>IF($B366="","",IFERROR(INDEX(Jobs!$B$2:$B$501,MATCH($B366,Jobs!$A$2:$A$501,0)),""))</f>
        <v/>
      </c>
      <c r="D366" s="17"/>
      <c r="E366" s="18"/>
      <c r="F366" s="16"/>
      <c r="G366" s="16"/>
      <c r="H366" s="19" t="str">
        <f>IF($B366="","",IFERROR(INDEX(Jobs!$I$2:$I$501,MATCH($B366,Jobs!$A$2:$A$501,0)),""))</f>
        <v/>
      </c>
      <c r="I366" s="19" t="str">
        <f>IF($B366="","",IFERROR(INDEX(Jobs!$K$2:$K$501,MATCH($B366,Jobs!$A$2:$A$501,0)),""))</f>
        <v/>
      </c>
      <c r="J366" s="16"/>
    </row>
    <row r="367" spans="1:10" x14ac:dyDescent="0.3">
      <c r="A367" s="15" t="str">
        <f t="shared" si="5"/>
        <v/>
      </c>
      <c r="B367" s="16"/>
      <c r="C367" s="15" t="str">
        <f>IF($B367="","",IFERROR(INDEX(Jobs!$B$2:$B$501,MATCH($B367,Jobs!$A$2:$A$501,0)),""))</f>
        <v/>
      </c>
      <c r="D367" s="17"/>
      <c r="E367" s="18"/>
      <c r="F367" s="16"/>
      <c r="G367" s="16"/>
      <c r="H367" s="19" t="str">
        <f>IF($B367="","",IFERROR(INDEX(Jobs!$I$2:$I$501,MATCH($B367,Jobs!$A$2:$A$501,0)),""))</f>
        <v/>
      </c>
      <c r="I367" s="19" t="str">
        <f>IF($B367="","",IFERROR(INDEX(Jobs!$K$2:$K$501,MATCH($B367,Jobs!$A$2:$A$501,0)),""))</f>
        <v/>
      </c>
      <c r="J367" s="16"/>
    </row>
    <row r="368" spans="1:10" x14ac:dyDescent="0.3">
      <c r="A368" s="15" t="str">
        <f t="shared" si="5"/>
        <v/>
      </c>
      <c r="B368" s="16"/>
      <c r="C368" s="15" t="str">
        <f>IF($B368="","",IFERROR(INDEX(Jobs!$B$2:$B$501,MATCH($B368,Jobs!$A$2:$A$501,0)),""))</f>
        <v/>
      </c>
      <c r="D368" s="17"/>
      <c r="E368" s="18"/>
      <c r="F368" s="16"/>
      <c r="G368" s="16"/>
      <c r="H368" s="19" t="str">
        <f>IF($B368="","",IFERROR(INDEX(Jobs!$I$2:$I$501,MATCH($B368,Jobs!$A$2:$A$501,0)),""))</f>
        <v/>
      </c>
      <c r="I368" s="19" t="str">
        <f>IF($B368="","",IFERROR(INDEX(Jobs!$K$2:$K$501,MATCH($B368,Jobs!$A$2:$A$501,0)),""))</f>
        <v/>
      </c>
      <c r="J368" s="16"/>
    </row>
    <row r="369" spans="1:10" x14ac:dyDescent="0.3">
      <c r="A369" s="15" t="str">
        <f t="shared" si="5"/>
        <v/>
      </c>
      <c r="B369" s="16"/>
      <c r="C369" s="15" t="str">
        <f>IF($B369="","",IFERROR(INDEX(Jobs!$B$2:$B$501,MATCH($B369,Jobs!$A$2:$A$501,0)),""))</f>
        <v/>
      </c>
      <c r="D369" s="17"/>
      <c r="E369" s="18"/>
      <c r="F369" s="16"/>
      <c r="G369" s="16"/>
      <c r="H369" s="19" t="str">
        <f>IF($B369="","",IFERROR(INDEX(Jobs!$I$2:$I$501,MATCH($B369,Jobs!$A$2:$A$501,0)),""))</f>
        <v/>
      </c>
      <c r="I369" s="19" t="str">
        <f>IF($B369="","",IFERROR(INDEX(Jobs!$K$2:$K$501,MATCH($B369,Jobs!$A$2:$A$501,0)),""))</f>
        <v/>
      </c>
      <c r="J369" s="16"/>
    </row>
    <row r="370" spans="1:10" x14ac:dyDescent="0.3">
      <c r="A370" s="15" t="str">
        <f t="shared" si="5"/>
        <v/>
      </c>
      <c r="B370" s="16"/>
      <c r="C370" s="15" t="str">
        <f>IF($B370="","",IFERROR(INDEX(Jobs!$B$2:$B$501,MATCH($B370,Jobs!$A$2:$A$501,0)),""))</f>
        <v/>
      </c>
      <c r="D370" s="17"/>
      <c r="E370" s="18"/>
      <c r="F370" s="16"/>
      <c r="G370" s="16"/>
      <c r="H370" s="19" t="str">
        <f>IF($B370="","",IFERROR(INDEX(Jobs!$I$2:$I$501,MATCH($B370,Jobs!$A$2:$A$501,0)),""))</f>
        <v/>
      </c>
      <c r="I370" s="19" t="str">
        <f>IF($B370="","",IFERROR(INDEX(Jobs!$K$2:$K$501,MATCH($B370,Jobs!$A$2:$A$501,0)),""))</f>
        <v/>
      </c>
      <c r="J370" s="16"/>
    </row>
    <row r="371" spans="1:10" x14ac:dyDescent="0.3">
      <c r="A371" s="15" t="str">
        <f t="shared" si="5"/>
        <v/>
      </c>
      <c r="B371" s="16"/>
      <c r="C371" s="15" t="str">
        <f>IF($B371="","",IFERROR(INDEX(Jobs!$B$2:$B$501,MATCH($B371,Jobs!$A$2:$A$501,0)),""))</f>
        <v/>
      </c>
      <c r="D371" s="17"/>
      <c r="E371" s="18"/>
      <c r="F371" s="16"/>
      <c r="G371" s="16"/>
      <c r="H371" s="19" t="str">
        <f>IF($B371="","",IFERROR(INDEX(Jobs!$I$2:$I$501,MATCH($B371,Jobs!$A$2:$A$501,0)),""))</f>
        <v/>
      </c>
      <c r="I371" s="19" t="str">
        <f>IF($B371="","",IFERROR(INDEX(Jobs!$K$2:$K$501,MATCH($B371,Jobs!$A$2:$A$501,0)),""))</f>
        <v/>
      </c>
      <c r="J371" s="16"/>
    </row>
    <row r="372" spans="1:10" x14ac:dyDescent="0.3">
      <c r="A372" s="15" t="str">
        <f t="shared" si="5"/>
        <v/>
      </c>
      <c r="B372" s="16"/>
      <c r="C372" s="15" t="str">
        <f>IF($B372="","",IFERROR(INDEX(Jobs!$B$2:$B$501,MATCH($B372,Jobs!$A$2:$A$501,0)),""))</f>
        <v/>
      </c>
      <c r="D372" s="17"/>
      <c r="E372" s="18"/>
      <c r="F372" s="16"/>
      <c r="G372" s="16"/>
      <c r="H372" s="19" t="str">
        <f>IF($B372="","",IFERROR(INDEX(Jobs!$I$2:$I$501,MATCH($B372,Jobs!$A$2:$A$501,0)),""))</f>
        <v/>
      </c>
      <c r="I372" s="19" t="str">
        <f>IF($B372="","",IFERROR(INDEX(Jobs!$K$2:$K$501,MATCH($B372,Jobs!$A$2:$A$501,0)),""))</f>
        <v/>
      </c>
      <c r="J372" s="16"/>
    </row>
    <row r="373" spans="1:10" x14ac:dyDescent="0.3">
      <c r="A373" s="15" t="str">
        <f t="shared" si="5"/>
        <v/>
      </c>
      <c r="B373" s="16"/>
      <c r="C373" s="15" t="str">
        <f>IF($B373="","",IFERROR(INDEX(Jobs!$B$2:$B$501,MATCH($B373,Jobs!$A$2:$A$501,0)),""))</f>
        <v/>
      </c>
      <c r="D373" s="17"/>
      <c r="E373" s="18"/>
      <c r="F373" s="16"/>
      <c r="G373" s="16"/>
      <c r="H373" s="19" t="str">
        <f>IF($B373="","",IFERROR(INDEX(Jobs!$I$2:$I$501,MATCH($B373,Jobs!$A$2:$A$501,0)),""))</f>
        <v/>
      </c>
      <c r="I373" s="19" t="str">
        <f>IF($B373="","",IFERROR(INDEX(Jobs!$K$2:$K$501,MATCH($B373,Jobs!$A$2:$A$501,0)),""))</f>
        <v/>
      </c>
      <c r="J373" s="16"/>
    </row>
    <row r="374" spans="1:10" x14ac:dyDescent="0.3">
      <c r="A374" s="15" t="str">
        <f t="shared" si="5"/>
        <v/>
      </c>
      <c r="B374" s="16"/>
      <c r="C374" s="15" t="str">
        <f>IF($B374="","",IFERROR(INDEX(Jobs!$B$2:$B$501,MATCH($B374,Jobs!$A$2:$A$501,0)),""))</f>
        <v/>
      </c>
      <c r="D374" s="17"/>
      <c r="E374" s="18"/>
      <c r="F374" s="16"/>
      <c r="G374" s="16"/>
      <c r="H374" s="19" t="str">
        <f>IF($B374="","",IFERROR(INDEX(Jobs!$I$2:$I$501,MATCH($B374,Jobs!$A$2:$A$501,0)),""))</f>
        <v/>
      </c>
      <c r="I374" s="19" t="str">
        <f>IF($B374="","",IFERROR(INDEX(Jobs!$K$2:$K$501,MATCH($B374,Jobs!$A$2:$A$501,0)),""))</f>
        <v/>
      </c>
      <c r="J374" s="16"/>
    </row>
    <row r="375" spans="1:10" x14ac:dyDescent="0.3">
      <c r="A375" s="15" t="str">
        <f t="shared" si="5"/>
        <v/>
      </c>
      <c r="B375" s="16"/>
      <c r="C375" s="15" t="str">
        <f>IF($B375="","",IFERROR(INDEX(Jobs!$B$2:$B$501,MATCH($B375,Jobs!$A$2:$A$501,0)),""))</f>
        <v/>
      </c>
      <c r="D375" s="17"/>
      <c r="E375" s="18"/>
      <c r="F375" s="16"/>
      <c r="G375" s="16"/>
      <c r="H375" s="19" t="str">
        <f>IF($B375="","",IFERROR(INDEX(Jobs!$I$2:$I$501,MATCH($B375,Jobs!$A$2:$A$501,0)),""))</f>
        <v/>
      </c>
      <c r="I375" s="19" t="str">
        <f>IF($B375="","",IFERROR(INDEX(Jobs!$K$2:$K$501,MATCH($B375,Jobs!$A$2:$A$501,0)),""))</f>
        <v/>
      </c>
      <c r="J375" s="16"/>
    </row>
    <row r="376" spans="1:10" x14ac:dyDescent="0.3">
      <c r="A376" s="15" t="str">
        <f t="shared" si="5"/>
        <v/>
      </c>
      <c r="B376" s="16"/>
      <c r="C376" s="15" t="str">
        <f>IF($B376="","",IFERROR(INDEX(Jobs!$B$2:$B$501,MATCH($B376,Jobs!$A$2:$A$501,0)),""))</f>
        <v/>
      </c>
      <c r="D376" s="17"/>
      <c r="E376" s="18"/>
      <c r="F376" s="16"/>
      <c r="G376" s="16"/>
      <c r="H376" s="19" t="str">
        <f>IF($B376="","",IFERROR(INDEX(Jobs!$I$2:$I$501,MATCH($B376,Jobs!$A$2:$A$501,0)),""))</f>
        <v/>
      </c>
      <c r="I376" s="19" t="str">
        <f>IF($B376="","",IFERROR(INDEX(Jobs!$K$2:$K$501,MATCH($B376,Jobs!$A$2:$A$501,0)),""))</f>
        <v/>
      </c>
      <c r="J376" s="16"/>
    </row>
    <row r="377" spans="1:10" x14ac:dyDescent="0.3">
      <c r="A377" s="15" t="str">
        <f t="shared" si="5"/>
        <v/>
      </c>
      <c r="B377" s="16"/>
      <c r="C377" s="15" t="str">
        <f>IF($B377="","",IFERROR(INDEX(Jobs!$B$2:$B$501,MATCH($B377,Jobs!$A$2:$A$501,0)),""))</f>
        <v/>
      </c>
      <c r="D377" s="17"/>
      <c r="E377" s="18"/>
      <c r="F377" s="16"/>
      <c r="G377" s="16"/>
      <c r="H377" s="19" t="str">
        <f>IF($B377="","",IFERROR(INDEX(Jobs!$I$2:$I$501,MATCH($B377,Jobs!$A$2:$A$501,0)),""))</f>
        <v/>
      </c>
      <c r="I377" s="19" t="str">
        <f>IF($B377="","",IFERROR(INDEX(Jobs!$K$2:$K$501,MATCH($B377,Jobs!$A$2:$A$501,0)),""))</f>
        <v/>
      </c>
      <c r="J377" s="16"/>
    </row>
    <row r="378" spans="1:10" x14ac:dyDescent="0.3">
      <c r="A378" s="15" t="str">
        <f t="shared" si="5"/>
        <v/>
      </c>
      <c r="B378" s="16"/>
      <c r="C378" s="15" t="str">
        <f>IF($B378="","",IFERROR(INDEX(Jobs!$B$2:$B$501,MATCH($B378,Jobs!$A$2:$A$501,0)),""))</f>
        <v/>
      </c>
      <c r="D378" s="17"/>
      <c r="E378" s="18"/>
      <c r="F378" s="16"/>
      <c r="G378" s="16"/>
      <c r="H378" s="19" t="str">
        <f>IF($B378="","",IFERROR(INDEX(Jobs!$I$2:$I$501,MATCH($B378,Jobs!$A$2:$A$501,0)),""))</f>
        <v/>
      </c>
      <c r="I378" s="19" t="str">
        <f>IF($B378="","",IFERROR(INDEX(Jobs!$K$2:$K$501,MATCH($B378,Jobs!$A$2:$A$501,0)),""))</f>
        <v/>
      </c>
      <c r="J378" s="16"/>
    </row>
    <row r="379" spans="1:10" x14ac:dyDescent="0.3">
      <c r="A379" s="15" t="str">
        <f t="shared" si="5"/>
        <v/>
      </c>
      <c r="B379" s="16"/>
      <c r="C379" s="15" t="str">
        <f>IF($B379="","",IFERROR(INDEX(Jobs!$B$2:$B$501,MATCH($B379,Jobs!$A$2:$A$501,0)),""))</f>
        <v/>
      </c>
      <c r="D379" s="17"/>
      <c r="E379" s="18"/>
      <c r="F379" s="16"/>
      <c r="G379" s="16"/>
      <c r="H379" s="19" t="str">
        <f>IF($B379="","",IFERROR(INDEX(Jobs!$I$2:$I$501,MATCH($B379,Jobs!$A$2:$A$501,0)),""))</f>
        <v/>
      </c>
      <c r="I379" s="19" t="str">
        <f>IF($B379="","",IFERROR(INDEX(Jobs!$K$2:$K$501,MATCH($B379,Jobs!$A$2:$A$501,0)),""))</f>
        <v/>
      </c>
      <c r="J379" s="16"/>
    </row>
    <row r="380" spans="1:10" x14ac:dyDescent="0.3">
      <c r="A380" s="15" t="str">
        <f t="shared" si="5"/>
        <v/>
      </c>
      <c r="B380" s="16"/>
      <c r="C380" s="15" t="str">
        <f>IF($B380="","",IFERROR(INDEX(Jobs!$B$2:$B$501,MATCH($B380,Jobs!$A$2:$A$501,0)),""))</f>
        <v/>
      </c>
      <c r="D380" s="17"/>
      <c r="E380" s="18"/>
      <c r="F380" s="16"/>
      <c r="G380" s="16"/>
      <c r="H380" s="19" t="str">
        <f>IF($B380="","",IFERROR(INDEX(Jobs!$I$2:$I$501,MATCH($B380,Jobs!$A$2:$A$501,0)),""))</f>
        <v/>
      </c>
      <c r="I380" s="19" t="str">
        <f>IF($B380="","",IFERROR(INDEX(Jobs!$K$2:$K$501,MATCH($B380,Jobs!$A$2:$A$501,0)),""))</f>
        <v/>
      </c>
      <c r="J380" s="16"/>
    </row>
    <row r="381" spans="1:10" x14ac:dyDescent="0.3">
      <c r="A381" s="15" t="str">
        <f t="shared" si="5"/>
        <v/>
      </c>
      <c r="B381" s="16"/>
      <c r="C381" s="15" t="str">
        <f>IF($B381="","",IFERROR(INDEX(Jobs!$B$2:$B$501,MATCH($B381,Jobs!$A$2:$A$501,0)),""))</f>
        <v/>
      </c>
      <c r="D381" s="17"/>
      <c r="E381" s="18"/>
      <c r="F381" s="16"/>
      <c r="G381" s="16"/>
      <c r="H381" s="19" t="str">
        <f>IF($B381="","",IFERROR(INDEX(Jobs!$I$2:$I$501,MATCH($B381,Jobs!$A$2:$A$501,0)),""))</f>
        <v/>
      </c>
      <c r="I381" s="19" t="str">
        <f>IF($B381="","",IFERROR(INDEX(Jobs!$K$2:$K$501,MATCH($B381,Jobs!$A$2:$A$501,0)),""))</f>
        <v/>
      </c>
      <c r="J381" s="16"/>
    </row>
    <row r="382" spans="1:10" x14ac:dyDescent="0.3">
      <c r="A382" s="15" t="str">
        <f t="shared" si="5"/>
        <v/>
      </c>
      <c r="B382" s="16"/>
      <c r="C382" s="15" t="str">
        <f>IF($B382="","",IFERROR(INDEX(Jobs!$B$2:$B$501,MATCH($B382,Jobs!$A$2:$A$501,0)),""))</f>
        <v/>
      </c>
      <c r="D382" s="17"/>
      <c r="E382" s="18"/>
      <c r="F382" s="16"/>
      <c r="G382" s="16"/>
      <c r="H382" s="19" t="str">
        <f>IF($B382="","",IFERROR(INDEX(Jobs!$I$2:$I$501,MATCH($B382,Jobs!$A$2:$A$501,0)),""))</f>
        <v/>
      </c>
      <c r="I382" s="19" t="str">
        <f>IF($B382="","",IFERROR(INDEX(Jobs!$K$2:$K$501,MATCH($B382,Jobs!$A$2:$A$501,0)),""))</f>
        <v/>
      </c>
      <c r="J382" s="16"/>
    </row>
    <row r="383" spans="1:10" x14ac:dyDescent="0.3">
      <c r="A383" s="15" t="str">
        <f t="shared" si="5"/>
        <v/>
      </c>
      <c r="B383" s="16"/>
      <c r="C383" s="15" t="str">
        <f>IF($B383="","",IFERROR(INDEX(Jobs!$B$2:$B$501,MATCH($B383,Jobs!$A$2:$A$501,0)),""))</f>
        <v/>
      </c>
      <c r="D383" s="17"/>
      <c r="E383" s="18"/>
      <c r="F383" s="16"/>
      <c r="G383" s="16"/>
      <c r="H383" s="19" t="str">
        <f>IF($B383="","",IFERROR(INDEX(Jobs!$I$2:$I$501,MATCH($B383,Jobs!$A$2:$A$501,0)),""))</f>
        <v/>
      </c>
      <c r="I383" s="19" t="str">
        <f>IF($B383="","",IFERROR(INDEX(Jobs!$K$2:$K$501,MATCH($B383,Jobs!$A$2:$A$501,0)),""))</f>
        <v/>
      </c>
      <c r="J383" s="16"/>
    </row>
    <row r="384" spans="1:10" x14ac:dyDescent="0.3">
      <c r="A384" s="15" t="str">
        <f t="shared" si="5"/>
        <v/>
      </c>
      <c r="B384" s="16"/>
      <c r="C384" s="15" t="str">
        <f>IF($B384="","",IFERROR(INDEX(Jobs!$B$2:$B$501,MATCH($B384,Jobs!$A$2:$A$501,0)),""))</f>
        <v/>
      </c>
      <c r="D384" s="17"/>
      <c r="E384" s="18"/>
      <c r="F384" s="16"/>
      <c r="G384" s="16"/>
      <c r="H384" s="19" t="str">
        <f>IF($B384="","",IFERROR(INDEX(Jobs!$I$2:$I$501,MATCH($B384,Jobs!$A$2:$A$501,0)),""))</f>
        <v/>
      </c>
      <c r="I384" s="19" t="str">
        <f>IF($B384="","",IFERROR(INDEX(Jobs!$K$2:$K$501,MATCH($B384,Jobs!$A$2:$A$501,0)),""))</f>
        <v/>
      </c>
      <c r="J384" s="16"/>
    </row>
    <row r="385" spans="1:10" x14ac:dyDescent="0.3">
      <c r="A385" s="15" t="str">
        <f t="shared" si="5"/>
        <v/>
      </c>
      <c r="B385" s="16"/>
      <c r="C385" s="15" t="str">
        <f>IF($B385="","",IFERROR(INDEX(Jobs!$B$2:$B$501,MATCH($B385,Jobs!$A$2:$A$501,0)),""))</f>
        <v/>
      </c>
      <c r="D385" s="17"/>
      <c r="E385" s="18"/>
      <c r="F385" s="16"/>
      <c r="G385" s="16"/>
      <c r="H385" s="19" t="str">
        <f>IF($B385="","",IFERROR(INDEX(Jobs!$I$2:$I$501,MATCH($B385,Jobs!$A$2:$A$501,0)),""))</f>
        <v/>
      </c>
      <c r="I385" s="19" t="str">
        <f>IF($B385="","",IFERROR(INDEX(Jobs!$K$2:$K$501,MATCH($B385,Jobs!$A$2:$A$501,0)),""))</f>
        <v/>
      </c>
      <c r="J385" s="16"/>
    </row>
    <row r="386" spans="1:10" x14ac:dyDescent="0.3">
      <c r="A386" s="15" t="str">
        <f t="shared" ref="A386:A449" si="6">IF(B386="","","PAY-"&amp;TEXT(ROW()-1,"0000"))</f>
        <v/>
      </c>
      <c r="B386" s="16"/>
      <c r="C386" s="15" t="str">
        <f>IF($B386="","",IFERROR(INDEX(Jobs!$B$2:$B$501,MATCH($B386,Jobs!$A$2:$A$501,0)),""))</f>
        <v/>
      </c>
      <c r="D386" s="17"/>
      <c r="E386" s="18"/>
      <c r="F386" s="16"/>
      <c r="G386" s="16"/>
      <c r="H386" s="19" t="str">
        <f>IF($B386="","",IFERROR(INDEX(Jobs!$I$2:$I$501,MATCH($B386,Jobs!$A$2:$A$501,0)),""))</f>
        <v/>
      </c>
      <c r="I386" s="19" t="str">
        <f>IF($B386="","",IFERROR(INDEX(Jobs!$K$2:$K$501,MATCH($B386,Jobs!$A$2:$A$501,0)),""))</f>
        <v/>
      </c>
      <c r="J386" s="16"/>
    </row>
    <row r="387" spans="1:10" x14ac:dyDescent="0.3">
      <c r="A387" s="15" t="str">
        <f t="shared" si="6"/>
        <v/>
      </c>
      <c r="B387" s="16"/>
      <c r="C387" s="15" t="str">
        <f>IF($B387="","",IFERROR(INDEX(Jobs!$B$2:$B$501,MATCH($B387,Jobs!$A$2:$A$501,0)),""))</f>
        <v/>
      </c>
      <c r="D387" s="17"/>
      <c r="E387" s="18"/>
      <c r="F387" s="16"/>
      <c r="G387" s="16"/>
      <c r="H387" s="19" t="str">
        <f>IF($B387="","",IFERROR(INDEX(Jobs!$I$2:$I$501,MATCH($B387,Jobs!$A$2:$A$501,0)),""))</f>
        <v/>
      </c>
      <c r="I387" s="19" t="str">
        <f>IF($B387="","",IFERROR(INDEX(Jobs!$K$2:$K$501,MATCH($B387,Jobs!$A$2:$A$501,0)),""))</f>
        <v/>
      </c>
      <c r="J387" s="16"/>
    </row>
    <row r="388" spans="1:10" x14ac:dyDescent="0.3">
      <c r="A388" s="15" t="str">
        <f t="shared" si="6"/>
        <v/>
      </c>
      <c r="B388" s="16"/>
      <c r="C388" s="15" t="str">
        <f>IF($B388="","",IFERROR(INDEX(Jobs!$B$2:$B$501,MATCH($B388,Jobs!$A$2:$A$501,0)),""))</f>
        <v/>
      </c>
      <c r="D388" s="17"/>
      <c r="E388" s="18"/>
      <c r="F388" s="16"/>
      <c r="G388" s="16"/>
      <c r="H388" s="19" t="str">
        <f>IF($B388="","",IFERROR(INDEX(Jobs!$I$2:$I$501,MATCH($B388,Jobs!$A$2:$A$501,0)),""))</f>
        <v/>
      </c>
      <c r="I388" s="19" t="str">
        <f>IF($B388="","",IFERROR(INDEX(Jobs!$K$2:$K$501,MATCH($B388,Jobs!$A$2:$A$501,0)),""))</f>
        <v/>
      </c>
      <c r="J388" s="16"/>
    </row>
    <row r="389" spans="1:10" x14ac:dyDescent="0.3">
      <c r="A389" s="15" t="str">
        <f t="shared" si="6"/>
        <v/>
      </c>
      <c r="B389" s="16"/>
      <c r="C389" s="15" t="str">
        <f>IF($B389="","",IFERROR(INDEX(Jobs!$B$2:$B$501,MATCH($B389,Jobs!$A$2:$A$501,0)),""))</f>
        <v/>
      </c>
      <c r="D389" s="17"/>
      <c r="E389" s="18"/>
      <c r="F389" s="16"/>
      <c r="G389" s="16"/>
      <c r="H389" s="19" t="str">
        <f>IF($B389="","",IFERROR(INDEX(Jobs!$I$2:$I$501,MATCH($B389,Jobs!$A$2:$A$501,0)),""))</f>
        <v/>
      </c>
      <c r="I389" s="19" t="str">
        <f>IF($B389="","",IFERROR(INDEX(Jobs!$K$2:$K$501,MATCH($B389,Jobs!$A$2:$A$501,0)),""))</f>
        <v/>
      </c>
      <c r="J389" s="16"/>
    </row>
    <row r="390" spans="1:10" x14ac:dyDescent="0.3">
      <c r="A390" s="15" t="str">
        <f t="shared" si="6"/>
        <v/>
      </c>
      <c r="B390" s="16"/>
      <c r="C390" s="15" t="str">
        <f>IF($B390="","",IFERROR(INDEX(Jobs!$B$2:$B$501,MATCH($B390,Jobs!$A$2:$A$501,0)),""))</f>
        <v/>
      </c>
      <c r="D390" s="17"/>
      <c r="E390" s="18"/>
      <c r="F390" s="16"/>
      <c r="G390" s="16"/>
      <c r="H390" s="19" t="str">
        <f>IF($B390="","",IFERROR(INDEX(Jobs!$I$2:$I$501,MATCH($B390,Jobs!$A$2:$A$501,0)),""))</f>
        <v/>
      </c>
      <c r="I390" s="19" t="str">
        <f>IF($B390="","",IFERROR(INDEX(Jobs!$K$2:$K$501,MATCH($B390,Jobs!$A$2:$A$501,0)),""))</f>
        <v/>
      </c>
      <c r="J390" s="16"/>
    </row>
    <row r="391" spans="1:10" x14ac:dyDescent="0.3">
      <c r="A391" s="15" t="str">
        <f t="shared" si="6"/>
        <v/>
      </c>
      <c r="B391" s="16"/>
      <c r="C391" s="15" t="str">
        <f>IF($B391="","",IFERROR(INDEX(Jobs!$B$2:$B$501,MATCH($B391,Jobs!$A$2:$A$501,0)),""))</f>
        <v/>
      </c>
      <c r="D391" s="17"/>
      <c r="E391" s="18"/>
      <c r="F391" s="16"/>
      <c r="G391" s="16"/>
      <c r="H391" s="19" t="str">
        <f>IF($B391="","",IFERROR(INDEX(Jobs!$I$2:$I$501,MATCH($B391,Jobs!$A$2:$A$501,0)),""))</f>
        <v/>
      </c>
      <c r="I391" s="19" t="str">
        <f>IF($B391="","",IFERROR(INDEX(Jobs!$K$2:$K$501,MATCH($B391,Jobs!$A$2:$A$501,0)),""))</f>
        <v/>
      </c>
      <c r="J391" s="16"/>
    </row>
    <row r="392" spans="1:10" x14ac:dyDescent="0.3">
      <c r="A392" s="15" t="str">
        <f t="shared" si="6"/>
        <v/>
      </c>
      <c r="B392" s="16"/>
      <c r="C392" s="15" t="str">
        <f>IF($B392="","",IFERROR(INDEX(Jobs!$B$2:$B$501,MATCH($B392,Jobs!$A$2:$A$501,0)),""))</f>
        <v/>
      </c>
      <c r="D392" s="17"/>
      <c r="E392" s="18"/>
      <c r="F392" s="16"/>
      <c r="G392" s="16"/>
      <c r="H392" s="19" t="str">
        <f>IF($B392="","",IFERROR(INDEX(Jobs!$I$2:$I$501,MATCH($B392,Jobs!$A$2:$A$501,0)),""))</f>
        <v/>
      </c>
      <c r="I392" s="19" t="str">
        <f>IF($B392="","",IFERROR(INDEX(Jobs!$K$2:$K$501,MATCH($B392,Jobs!$A$2:$A$501,0)),""))</f>
        <v/>
      </c>
      <c r="J392" s="16"/>
    </row>
    <row r="393" spans="1:10" x14ac:dyDescent="0.3">
      <c r="A393" s="15" t="str">
        <f t="shared" si="6"/>
        <v/>
      </c>
      <c r="B393" s="16"/>
      <c r="C393" s="15" t="str">
        <f>IF($B393="","",IFERROR(INDEX(Jobs!$B$2:$B$501,MATCH($B393,Jobs!$A$2:$A$501,0)),""))</f>
        <v/>
      </c>
      <c r="D393" s="17"/>
      <c r="E393" s="18"/>
      <c r="F393" s="16"/>
      <c r="G393" s="16"/>
      <c r="H393" s="19" t="str">
        <f>IF($B393="","",IFERROR(INDEX(Jobs!$I$2:$I$501,MATCH($B393,Jobs!$A$2:$A$501,0)),""))</f>
        <v/>
      </c>
      <c r="I393" s="19" t="str">
        <f>IF($B393="","",IFERROR(INDEX(Jobs!$K$2:$K$501,MATCH($B393,Jobs!$A$2:$A$501,0)),""))</f>
        <v/>
      </c>
      <c r="J393" s="16"/>
    </row>
    <row r="394" spans="1:10" x14ac:dyDescent="0.3">
      <c r="A394" s="15" t="str">
        <f t="shared" si="6"/>
        <v/>
      </c>
      <c r="B394" s="16"/>
      <c r="C394" s="15" t="str">
        <f>IF($B394="","",IFERROR(INDEX(Jobs!$B$2:$B$501,MATCH($B394,Jobs!$A$2:$A$501,0)),""))</f>
        <v/>
      </c>
      <c r="D394" s="17"/>
      <c r="E394" s="18"/>
      <c r="F394" s="16"/>
      <c r="G394" s="16"/>
      <c r="H394" s="19" t="str">
        <f>IF($B394="","",IFERROR(INDEX(Jobs!$I$2:$I$501,MATCH($B394,Jobs!$A$2:$A$501,0)),""))</f>
        <v/>
      </c>
      <c r="I394" s="19" t="str">
        <f>IF($B394="","",IFERROR(INDEX(Jobs!$K$2:$K$501,MATCH($B394,Jobs!$A$2:$A$501,0)),""))</f>
        <v/>
      </c>
      <c r="J394" s="16"/>
    </row>
    <row r="395" spans="1:10" x14ac:dyDescent="0.3">
      <c r="A395" s="15" t="str">
        <f t="shared" si="6"/>
        <v/>
      </c>
      <c r="B395" s="16"/>
      <c r="C395" s="15" t="str">
        <f>IF($B395="","",IFERROR(INDEX(Jobs!$B$2:$B$501,MATCH($B395,Jobs!$A$2:$A$501,0)),""))</f>
        <v/>
      </c>
      <c r="D395" s="17"/>
      <c r="E395" s="18"/>
      <c r="F395" s="16"/>
      <c r="G395" s="16"/>
      <c r="H395" s="19" t="str">
        <f>IF($B395="","",IFERROR(INDEX(Jobs!$I$2:$I$501,MATCH($B395,Jobs!$A$2:$A$501,0)),""))</f>
        <v/>
      </c>
      <c r="I395" s="19" t="str">
        <f>IF($B395="","",IFERROR(INDEX(Jobs!$K$2:$K$501,MATCH($B395,Jobs!$A$2:$A$501,0)),""))</f>
        <v/>
      </c>
      <c r="J395" s="16"/>
    </row>
    <row r="396" spans="1:10" x14ac:dyDescent="0.3">
      <c r="A396" s="15" t="str">
        <f t="shared" si="6"/>
        <v/>
      </c>
      <c r="B396" s="16"/>
      <c r="C396" s="15" t="str">
        <f>IF($B396="","",IFERROR(INDEX(Jobs!$B$2:$B$501,MATCH($B396,Jobs!$A$2:$A$501,0)),""))</f>
        <v/>
      </c>
      <c r="D396" s="17"/>
      <c r="E396" s="18"/>
      <c r="F396" s="16"/>
      <c r="G396" s="16"/>
      <c r="H396" s="19" t="str">
        <f>IF($B396="","",IFERROR(INDEX(Jobs!$I$2:$I$501,MATCH($B396,Jobs!$A$2:$A$501,0)),""))</f>
        <v/>
      </c>
      <c r="I396" s="19" t="str">
        <f>IF($B396="","",IFERROR(INDEX(Jobs!$K$2:$K$501,MATCH($B396,Jobs!$A$2:$A$501,0)),""))</f>
        <v/>
      </c>
      <c r="J396" s="16"/>
    </row>
    <row r="397" spans="1:10" x14ac:dyDescent="0.3">
      <c r="A397" s="15" t="str">
        <f t="shared" si="6"/>
        <v/>
      </c>
      <c r="B397" s="16"/>
      <c r="C397" s="15" t="str">
        <f>IF($B397="","",IFERROR(INDEX(Jobs!$B$2:$B$501,MATCH($B397,Jobs!$A$2:$A$501,0)),""))</f>
        <v/>
      </c>
      <c r="D397" s="17"/>
      <c r="E397" s="18"/>
      <c r="F397" s="16"/>
      <c r="G397" s="16"/>
      <c r="H397" s="19" t="str">
        <f>IF($B397="","",IFERROR(INDEX(Jobs!$I$2:$I$501,MATCH($B397,Jobs!$A$2:$A$501,0)),""))</f>
        <v/>
      </c>
      <c r="I397" s="19" t="str">
        <f>IF($B397="","",IFERROR(INDEX(Jobs!$K$2:$K$501,MATCH($B397,Jobs!$A$2:$A$501,0)),""))</f>
        <v/>
      </c>
      <c r="J397" s="16"/>
    </row>
    <row r="398" spans="1:10" x14ac:dyDescent="0.3">
      <c r="A398" s="15" t="str">
        <f t="shared" si="6"/>
        <v/>
      </c>
      <c r="B398" s="16"/>
      <c r="C398" s="15" t="str">
        <f>IF($B398="","",IFERROR(INDEX(Jobs!$B$2:$B$501,MATCH($B398,Jobs!$A$2:$A$501,0)),""))</f>
        <v/>
      </c>
      <c r="D398" s="17"/>
      <c r="E398" s="18"/>
      <c r="F398" s="16"/>
      <c r="G398" s="16"/>
      <c r="H398" s="19" t="str">
        <f>IF($B398="","",IFERROR(INDEX(Jobs!$I$2:$I$501,MATCH($B398,Jobs!$A$2:$A$501,0)),""))</f>
        <v/>
      </c>
      <c r="I398" s="19" t="str">
        <f>IF($B398="","",IFERROR(INDEX(Jobs!$K$2:$K$501,MATCH($B398,Jobs!$A$2:$A$501,0)),""))</f>
        <v/>
      </c>
      <c r="J398" s="16"/>
    </row>
    <row r="399" spans="1:10" x14ac:dyDescent="0.3">
      <c r="A399" s="15" t="str">
        <f t="shared" si="6"/>
        <v/>
      </c>
      <c r="B399" s="16"/>
      <c r="C399" s="15" t="str">
        <f>IF($B399="","",IFERROR(INDEX(Jobs!$B$2:$B$501,MATCH($B399,Jobs!$A$2:$A$501,0)),""))</f>
        <v/>
      </c>
      <c r="D399" s="17"/>
      <c r="E399" s="18"/>
      <c r="F399" s="16"/>
      <c r="G399" s="16"/>
      <c r="H399" s="19" t="str">
        <f>IF($B399="","",IFERROR(INDEX(Jobs!$I$2:$I$501,MATCH($B399,Jobs!$A$2:$A$501,0)),""))</f>
        <v/>
      </c>
      <c r="I399" s="19" t="str">
        <f>IF($B399="","",IFERROR(INDEX(Jobs!$K$2:$K$501,MATCH($B399,Jobs!$A$2:$A$501,0)),""))</f>
        <v/>
      </c>
      <c r="J399" s="16"/>
    </row>
    <row r="400" spans="1:10" x14ac:dyDescent="0.3">
      <c r="A400" s="15" t="str">
        <f t="shared" si="6"/>
        <v/>
      </c>
      <c r="B400" s="16"/>
      <c r="C400" s="15" t="str">
        <f>IF($B400="","",IFERROR(INDEX(Jobs!$B$2:$B$501,MATCH($B400,Jobs!$A$2:$A$501,0)),""))</f>
        <v/>
      </c>
      <c r="D400" s="17"/>
      <c r="E400" s="18"/>
      <c r="F400" s="16"/>
      <c r="G400" s="16"/>
      <c r="H400" s="19" t="str">
        <f>IF($B400="","",IFERROR(INDEX(Jobs!$I$2:$I$501,MATCH($B400,Jobs!$A$2:$A$501,0)),""))</f>
        <v/>
      </c>
      <c r="I400" s="19" t="str">
        <f>IF($B400="","",IFERROR(INDEX(Jobs!$K$2:$K$501,MATCH($B400,Jobs!$A$2:$A$501,0)),""))</f>
        <v/>
      </c>
      <c r="J400" s="16"/>
    </row>
    <row r="401" spans="1:10" x14ac:dyDescent="0.3">
      <c r="A401" s="15" t="str">
        <f t="shared" si="6"/>
        <v/>
      </c>
      <c r="B401" s="16"/>
      <c r="C401" s="15" t="str">
        <f>IF($B401="","",IFERROR(INDEX(Jobs!$B$2:$B$501,MATCH($B401,Jobs!$A$2:$A$501,0)),""))</f>
        <v/>
      </c>
      <c r="D401" s="17"/>
      <c r="E401" s="18"/>
      <c r="F401" s="16"/>
      <c r="G401" s="16"/>
      <c r="H401" s="19" t="str">
        <f>IF($B401="","",IFERROR(INDEX(Jobs!$I$2:$I$501,MATCH($B401,Jobs!$A$2:$A$501,0)),""))</f>
        <v/>
      </c>
      <c r="I401" s="19" t="str">
        <f>IF($B401="","",IFERROR(INDEX(Jobs!$K$2:$K$501,MATCH($B401,Jobs!$A$2:$A$501,0)),""))</f>
        <v/>
      </c>
      <c r="J401" s="16"/>
    </row>
    <row r="402" spans="1:10" x14ac:dyDescent="0.3">
      <c r="A402" s="15" t="str">
        <f t="shared" si="6"/>
        <v/>
      </c>
      <c r="B402" s="16"/>
      <c r="C402" s="15" t="str">
        <f>IF($B402="","",IFERROR(INDEX(Jobs!$B$2:$B$501,MATCH($B402,Jobs!$A$2:$A$501,0)),""))</f>
        <v/>
      </c>
      <c r="D402" s="17"/>
      <c r="E402" s="18"/>
      <c r="F402" s="16"/>
      <c r="G402" s="16"/>
      <c r="H402" s="19" t="str">
        <f>IF($B402="","",IFERROR(INDEX(Jobs!$I$2:$I$501,MATCH($B402,Jobs!$A$2:$A$501,0)),""))</f>
        <v/>
      </c>
      <c r="I402" s="19" t="str">
        <f>IF($B402="","",IFERROR(INDEX(Jobs!$K$2:$K$501,MATCH($B402,Jobs!$A$2:$A$501,0)),""))</f>
        <v/>
      </c>
      <c r="J402" s="16"/>
    </row>
    <row r="403" spans="1:10" x14ac:dyDescent="0.3">
      <c r="A403" s="15" t="str">
        <f t="shared" si="6"/>
        <v/>
      </c>
      <c r="B403" s="16"/>
      <c r="C403" s="15" t="str">
        <f>IF($B403="","",IFERROR(INDEX(Jobs!$B$2:$B$501,MATCH($B403,Jobs!$A$2:$A$501,0)),""))</f>
        <v/>
      </c>
      <c r="D403" s="17"/>
      <c r="E403" s="18"/>
      <c r="F403" s="16"/>
      <c r="G403" s="16"/>
      <c r="H403" s="19" t="str">
        <f>IF($B403="","",IFERROR(INDEX(Jobs!$I$2:$I$501,MATCH($B403,Jobs!$A$2:$A$501,0)),""))</f>
        <v/>
      </c>
      <c r="I403" s="19" t="str">
        <f>IF($B403="","",IFERROR(INDEX(Jobs!$K$2:$K$501,MATCH($B403,Jobs!$A$2:$A$501,0)),""))</f>
        <v/>
      </c>
      <c r="J403" s="16"/>
    </row>
    <row r="404" spans="1:10" x14ac:dyDescent="0.3">
      <c r="A404" s="15" t="str">
        <f t="shared" si="6"/>
        <v/>
      </c>
      <c r="B404" s="16"/>
      <c r="C404" s="15" t="str">
        <f>IF($B404="","",IFERROR(INDEX(Jobs!$B$2:$B$501,MATCH($B404,Jobs!$A$2:$A$501,0)),""))</f>
        <v/>
      </c>
      <c r="D404" s="17"/>
      <c r="E404" s="18"/>
      <c r="F404" s="16"/>
      <c r="G404" s="16"/>
      <c r="H404" s="19" t="str">
        <f>IF($B404="","",IFERROR(INDEX(Jobs!$I$2:$I$501,MATCH($B404,Jobs!$A$2:$A$501,0)),""))</f>
        <v/>
      </c>
      <c r="I404" s="19" t="str">
        <f>IF($B404="","",IFERROR(INDEX(Jobs!$K$2:$K$501,MATCH($B404,Jobs!$A$2:$A$501,0)),""))</f>
        <v/>
      </c>
      <c r="J404" s="16"/>
    </row>
    <row r="405" spans="1:10" x14ac:dyDescent="0.3">
      <c r="A405" s="15" t="str">
        <f t="shared" si="6"/>
        <v/>
      </c>
      <c r="B405" s="16"/>
      <c r="C405" s="15" t="str">
        <f>IF($B405="","",IFERROR(INDEX(Jobs!$B$2:$B$501,MATCH($B405,Jobs!$A$2:$A$501,0)),""))</f>
        <v/>
      </c>
      <c r="D405" s="17"/>
      <c r="E405" s="18"/>
      <c r="F405" s="16"/>
      <c r="G405" s="16"/>
      <c r="H405" s="19" t="str">
        <f>IF($B405="","",IFERROR(INDEX(Jobs!$I$2:$I$501,MATCH($B405,Jobs!$A$2:$A$501,0)),""))</f>
        <v/>
      </c>
      <c r="I405" s="19" t="str">
        <f>IF($B405="","",IFERROR(INDEX(Jobs!$K$2:$K$501,MATCH($B405,Jobs!$A$2:$A$501,0)),""))</f>
        <v/>
      </c>
      <c r="J405" s="16"/>
    </row>
    <row r="406" spans="1:10" x14ac:dyDescent="0.3">
      <c r="A406" s="15" t="str">
        <f t="shared" si="6"/>
        <v/>
      </c>
      <c r="B406" s="16"/>
      <c r="C406" s="15" t="str">
        <f>IF($B406="","",IFERROR(INDEX(Jobs!$B$2:$B$501,MATCH($B406,Jobs!$A$2:$A$501,0)),""))</f>
        <v/>
      </c>
      <c r="D406" s="17"/>
      <c r="E406" s="18"/>
      <c r="F406" s="16"/>
      <c r="G406" s="16"/>
      <c r="H406" s="19" t="str">
        <f>IF($B406="","",IFERROR(INDEX(Jobs!$I$2:$I$501,MATCH($B406,Jobs!$A$2:$A$501,0)),""))</f>
        <v/>
      </c>
      <c r="I406" s="19" t="str">
        <f>IF($B406="","",IFERROR(INDEX(Jobs!$K$2:$K$501,MATCH($B406,Jobs!$A$2:$A$501,0)),""))</f>
        <v/>
      </c>
      <c r="J406" s="16"/>
    </row>
    <row r="407" spans="1:10" x14ac:dyDescent="0.3">
      <c r="A407" s="15" t="str">
        <f t="shared" si="6"/>
        <v/>
      </c>
      <c r="B407" s="16"/>
      <c r="C407" s="15" t="str">
        <f>IF($B407="","",IFERROR(INDEX(Jobs!$B$2:$B$501,MATCH($B407,Jobs!$A$2:$A$501,0)),""))</f>
        <v/>
      </c>
      <c r="D407" s="17"/>
      <c r="E407" s="18"/>
      <c r="F407" s="16"/>
      <c r="G407" s="16"/>
      <c r="H407" s="19" t="str">
        <f>IF($B407="","",IFERROR(INDEX(Jobs!$I$2:$I$501,MATCH($B407,Jobs!$A$2:$A$501,0)),""))</f>
        <v/>
      </c>
      <c r="I407" s="19" t="str">
        <f>IF($B407="","",IFERROR(INDEX(Jobs!$K$2:$K$501,MATCH($B407,Jobs!$A$2:$A$501,0)),""))</f>
        <v/>
      </c>
      <c r="J407" s="16"/>
    </row>
    <row r="408" spans="1:10" x14ac:dyDescent="0.3">
      <c r="A408" s="15" t="str">
        <f t="shared" si="6"/>
        <v/>
      </c>
      <c r="B408" s="16"/>
      <c r="C408" s="15" t="str">
        <f>IF($B408="","",IFERROR(INDEX(Jobs!$B$2:$B$501,MATCH($B408,Jobs!$A$2:$A$501,0)),""))</f>
        <v/>
      </c>
      <c r="D408" s="17"/>
      <c r="E408" s="18"/>
      <c r="F408" s="16"/>
      <c r="G408" s="16"/>
      <c r="H408" s="19" t="str">
        <f>IF($B408="","",IFERROR(INDEX(Jobs!$I$2:$I$501,MATCH($B408,Jobs!$A$2:$A$501,0)),""))</f>
        <v/>
      </c>
      <c r="I408" s="19" t="str">
        <f>IF($B408="","",IFERROR(INDEX(Jobs!$K$2:$K$501,MATCH($B408,Jobs!$A$2:$A$501,0)),""))</f>
        <v/>
      </c>
      <c r="J408" s="16"/>
    </row>
    <row r="409" spans="1:10" x14ac:dyDescent="0.3">
      <c r="A409" s="15" t="str">
        <f t="shared" si="6"/>
        <v/>
      </c>
      <c r="B409" s="16"/>
      <c r="C409" s="15" t="str">
        <f>IF($B409="","",IFERROR(INDEX(Jobs!$B$2:$B$501,MATCH($B409,Jobs!$A$2:$A$501,0)),""))</f>
        <v/>
      </c>
      <c r="D409" s="17"/>
      <c r="E409" s="18"/>
      <c r="F409" s="16"/>
      <c r="G409" s="16"/>
      <c r="H409" s="19" t="str">
        <f>IF($B409="","",IFERROR(INDEX(Jobs!$I$2:$I$501,MATCH($B409,Jobs!$A$2:$A$501,0)),""))</f>
        <v/>
      </c>
      <c r="I409" s="19" t="str">
        <f>IF($B409="","",IFERROR(INDEX(Jobs!$K$2:$K$501,MATCH($B409,Jobs!$A$2:$A$501,0)),""))</f>
        <v/>
      </c>
      <c r="J409" s="16"/>
    </row>
    <row r="410" spans="1:10" x14ac:dyDescent="0.3">
      <c r="A410" s="15" t="str">
        <f t="shared" si="6"/>
        <v/>
      </c>
      <c r="B410" s="16"/>
      <c r="C410" s="15" t="str">
        <f>IF($B410="","",IFERROR(INDEX(Jobs!$B$2:$B$501,MATCH($B410,Jobs!$A$2:$A$501,0)),""))</f>
        <v/>
      </c>
      <c r="D410" s="17"/>
      <c r="E410" s="18"/>
      <c r="F410" s="16"/>
      <c r="G410" s="16"/>
      <c r="H410" s="19" t="str">
        <f>IF($B410="","",IFERROR(INDEX(Jobs!$I$2:$I$501,MATCH($B410,Jobs!$A$2:$A$501,0)),""))</f>
        <v/>
      </c>
      <c r="I410" s="19" t="str">
        <f>IF($B410="","",IFERROR(INDEX(Jobs!$K$2:$K$501,MATCH($B410,Jobs!$A$2:$A$501,0)),""))</f>
        <v/>
      </c>
      <c r="J410" s="16"/>
    </row>
    <row r="411" spans="1:10" x14ac:dyDescent="0.3">
      <c r="A411" s="15" t="str">
        <f t="shared" si="6"/>
        <v/>
      </c>
      <c r="B411" s="16"/>
      <c r="C411" s="15" t="str">
        <f>IF($B411="","",IFERROR(INDEX(Jobs!$B$2:$B$501,MATCH($B411,Jobs!$A$2:$A$501,0)),""))</f>
        <v/>
      </c>
      <c r="D411" s="17"/>
      <c r="E411" s="18"/>
      <c r="F411" s="16"/>
      <c r="G411" s="16"/>
      <c r="H411" s="19" t="str">
        <f>IF($B411="","",IFERROR(INDEX(Jobs!$I$2:$I$501,MATCH($B411,Jobs!$A$2:$A$501,0)),""))</f>
        <v/>
      </c>
      <c r="I411" s="19" t="str">
        <f>IF($B411="","",IFERROR(INDEX(Jobs!$K$2:$K$501,MATCH($B411,Jobs!$A$2:$A$501,0)),""))</f>
        <v/>
      </c>
      <c r="J411" s="16"/>
    </row>
    <row r="412" spans="1:10" x14ac:dyDescent="0.3">
      <c r="A412" s="15" t="str">
        <f t="shared" si="6"/>
        <v/>
      </c>
      <c r="B412" s="16"/>
      <c r="C412" s="15" t="str">
        <f>IF($B412="","",IFERROR(INDEX(Jobs!$B$2:$B$501,MATCH($B412,Jobs!$A$2:$A$501,0)),""))</f>
        <v/>
      </c>
      <c r="D412" s="17"/>
      <c r="E412" s="18"/>
      <c r="F412" s="16"/>
      <c r="G412" s="16"/>
      <c r="H412" s="19" t="str">
        <f>IF($B412="","",IFERROR(INDEX(Jobs!$I$2:$I$501,MATCH($B412,Jobs!$A$2:$A$501,0)),""))</f>
        <v/>
      </c>
      <c r="I412" s="19" t="str">
        <f>IF($B412="","",IFERROR(INDEX(Jobs!$K$2:$K$501,MATCH($B412,Jobs!$A$2:$A$501,0)),""))</f>
        <v/>
      </c>
      <c r="J412" s="16"/>
    </row>
    <row r="413" spans="1:10" x14ac:dyDescent="0.3">
      <c r="A413" s="15" t="str">
        <f t="shared" si="6"/>
        <v/>
      </c>
      <c r="B413" s="16"/>
      <c r="C413" s="15" t="str">
        <f>IF($B413="","",IFERROR(INDEX(Jobs!$B$2:$B$501,MATCH($B413,Jobs!$A$2:$A$501,0)),""))</f>
        <v/>
      </c>
      <c r="D413" s="17"/>
      <c r="E413" s="18"/>
      <c r="F413" s="16"/>
      <c r="G413" s="16"/>
      <c r="H413" s="19" t="str">
        <f>IF($B413="","",IFERROR(INDEX(Jobs!$I$2:$I$501,MATCH($B413,Jobs!$A$2:$A$501,0)),""))</f>
        <v/>
      </c>
      <c r="I413" s="19" t="str">
        <f>IF($B413="","",IFERROR(INDEX(Jobs!$K$2:$K$501,MATCH($B413,Jobs!$A$2:$A$501,0)),""))</f>
        <v/>
      </c>
      <c r="J413" s="16"/>
    </row>
    <row r="414" spans="1:10" x14ac:dyDescent="0.3">
      <c r="A414" s="15" t="str">
        <f t="shared" si="6"/>
        <v/>
      </c>
      <c r="B414" s="16"/>
      <c r="C414" s="15" t="str">
        <f>IF($B414="","",IFERROR(INDEX(Jobs!$B$2:$B$501,MATCH($B414,Jobs!$A$2:$A$501,0)),""))</f>
        <v/>
      </c>
      <c r="D414" s="17"/>
      <c r="E414" s="18"/>
      <c r="F414" s="16"/>
      <c r="G414" s="16"/>
      <c r="H414" s="19" t="str">
        <f>IF($B414="","",IFERROR(INDEX(Jobs!$I$2:$I$501,MATCH($B414,Jobs!$A$2:$A$501,0)),""))</f>
        <v/>
      </c>
      <c r="I414" s="19" t="str">
        <f>IF($B414="","",IFERROR(INDEX(Jobs!$K$2:$K$501,MATCH($B414,Jobs!$A$2:$A$501,0)),""))</f>
        <v/>
      </c>
      <c r="J414" s="16"/>
    </row>
    <row r="415" spans="1:10" x14ac:dyDescent="0.3">
      <c r="A415" s="15" t="str">
        <f t="shared" si="6"/>
        <v/>
      </c>
      <c r="B415" s="16"/>
      <c r="C415" s="15" t="str">
        <f>IF($B415="","",IFERROR(INDEX(Jobs!$B$2:$B$501,MATCH($B415,Jobs!$A$2:$A$501,0)),""))</f>
        <v/>
      </c>
      <c r="D415" s="17"/>
      <c r="E415" s="18"/>
      <c r="F415" s="16"/>
      <c r="G415" s="16"/>
      <c r="H415" s="19" t="str">
        <f>IF($B415="","",IFERROR(INDEX(Jobs!$I$2:$I$501,MATCH($B415,Jobs!$A$2:$A$501,0)),""))</f>
        <v/>
      </c>
      <c r="I415" s="19" t="str">
        <f>IF($B415="","",IFERROR(INDEX(Jobs!$K$2:$K$501,MATCH($B415,Jobs!$A$2:$A$501,0)),""))</f>
        <v/>
      </c>
      <c r="J415" s="16"/>
    </row>
    <row r="416" spans="1:10" x14ac:dyDescent="0.3">
      <c r="A416" s="15" t="str">
        <f t="shared" si="6"/>
        <v/>
      </c>
      <c r="B416" s="16"/>
      <c r="C416" s="15" t="str">
        <f>IF($B416="","",IFERROR(INDEX(Jobs!$B$2:$B$501,MATCH($B416,Jobs!$A$2:$A$501,0)),""))</f>
        <v/>
      </c>
      <c r="D416" s="17"/>
      <c r="E416" s="18"/>
      <c r="F416" s="16"/>
      <c r="G416" s="16"/>
      <c r="H416" s="19" t="str">
        <f>IF($B416="","",IFERROR(INDEX(Jobs!$I$2:$I$501,MATCH($B416,Jobs!$A$2:$A$501,0)),""))</f>
        <v/>
      </c>
      <c r="I416" s="19" t="str">
        <f>IF($B416="","",IFERROR(INDEX(Jobs!$K$2:$K$501,MATCH($B416,Jobs!$A$2:$A$501,0)),""))</f>
        <v/>
      </c>
      <c r="J416" s="16"/>
    </row>
    <row r="417" spans="1:10" x14ac:dyDescent="0.3">
      <c r="A417" s="15" t="str">
        <f t="shared" si="6"/>
        <v/>
      </c>
      <c r="B417" s="16"/>
      <c r="C417" s="15" t="str">
        <f>IF($B417="","",IFERROR(INDEX(Jobs!$B$2:$B$501,MATCH($B417,Jobs!$A$2:$A$501,0)),""))</f>
        <v/>
      </c>
      <c r="D417" s="17"/>
      <c r="E417" s="18"/>
      <c r="F417" s="16"/>
      <c r="G417" s="16"/>
      <c r="H417" s="19" t="str">
        <f>IF($B417="","",IFERROR(INDEX(Jobs!$I$2:$I$501,MATCH($B417,Jobs!$A$2:$A$501,0)),""))</f>
        <v/>
      </c>
      <c r="I417" s="19" t="str">
        <f>IF($B417="","",IFERROR(INDEX(Jobs!$K$2:$K$501,MATCH($B417,Jobs!$A$2:$A$501,0)),""))</f>
        <v/>
      </c>
      <c r="J417" s="16"/>
    </row>
    <row r="418" spans="1:10" x14ac:dyDescent="0.3">
      <c r="A418" s="15" t="str">
        <f t="shared" si="6"/>
        <v/>
      </c>
      <c r="B418" s="16"/>
      <c r="C418" s="15" t="str">
        <f>IF($B418="","",IFERROR(INDEX(Jobs!$B$2:$B$501,MATCH($B418,Jobs!$A$2:$A$501,0)),""))</f>
        <v/>
      </c>
      <c r="D418" s="17"/>
      <c r="E418" s="18"/>
      <c r="F418" s="16"/>
      <c r="G418" s="16"/>
      <c r="H418" s="19" t="str">
        <f>IF($B418="","",IFERROR(INDEX(Jobs!$I$2:$I$501,MATCH($B418,Jobs!$A$2:$A$501,0)),""))</f>
        <v/>
      </c>
      <c r="I418" s="19" t="str">
        <f>IF($B418="","",IFERROR(INDEX(Jobs!$K$2:$K$501,MATCH($B418,Jobs!$A$2:$A$501,0)),""))</f>
        <v/>
      </c>
      <c r="J418" s="16"/>
    </row>
    <row r="419" spans="1:10" x14ac:dyDescent="0.3">
      <c r="A419" s="15" t="str">
        <f t="shared" si="6"/>
        <v/>
      </c>
      <c r="B419" s="16"/>
      <c r="C419" s="15" t="str">
        <f>IF($B419="","",IFERROR(INDEX(Jobs!$B$2:$B$501,MATCH($B419,Jobs!$A$2:$A$501,0)),""))</f>
        <v/>
      </c>
      <c r="D419" s="17"/>
      <c r="E419" s="18"/>
      <c r="F419" s="16"/>
      <c r="G419" s="16"/>
      <c r="H419" s="19" t="str">
        <f>IF($B419="","",IFERROR(INDEX(Jobs!$I$2:$I$501,MATCH($B419,Jobs!$A$2:$A$501,0)),""))</f>
        <v/>
      </c>
      <c r="I419" s="19" t="str">
        <f>IF($B419="","",IFERROR(INDEX(Jobs!$K$2:$K$501,MATCH($B419,Jobs!$A$2:$A$501,0)),""))</f>
        <v/>
      </c>
      <c r="J419" s="16"/>
    </row>
    <row r="420" spans="1:10" x14ac:dyDescent="0.3">
      <c r="A420" s="15" t="str">
        <f t="shared" si="6"/>
        <v/>
      </c>
      <c r="B420" s="16"/>
      <c r="C420" s="15" t="str">
        <f>IF($B420="","",IFERROR(INDEX(Jobs!$B$2:$B$501,MATCH($B420,Jobs!$A$2:$A$501,0)),""))</f>
        <v/>
      </c>
      <c r="D420" s="17"/>
      <c r="E420" s="18"/>
      <c r="F420" s="16"/>
      <c r="G420" s="16"/>
      <c r="H420" s="19" t="str">
        <f>IF($B420="","",IFERROR(INDEX(Jobs!$I$2:$I$501,MATCH($B420,Jobs!$A$2:$A$501,0)),""))</f>
        <v/>
      </c>
      <c r="I420" s="19" t="str">
        <f>IF($B420="","",IFERROR(INDEX(Jobs!$K$2:$K$501,MATCH($B420,Jobs!$A$2:$A$501,0)),""))</f>
        <v/>
      </c>
      <c r="J420" s="16"/>
    </row>
    <row r="421" spans="1:10" x14ac:dyDescent="0.3">
      <c r="A421" s="15" t="str">
        <f t="shared" si="6"/>
        <v/>
      </c>
      <c r="B421" s="16"/>
      <c r="C421" s="15" t="str">
        <f>IF($B421="","",IFERROR(INDEX(Jobs!$B$2:$B$501,MATCH($B421,Jobs!$A$2:$A$501,0)),""))</f>
        <v/>
      </c>
      <c r="D421" s="17"/>
      <c r="E421" s="18"/>
      <c r="F421" s="16"/>
      <c r="G421" s="16"/>
      <c r="H421" s="19" t="str">
        <f>IF($B421="","",IFERROR(INDEX(Jobs!$I$2:$I$501,MATCH($B421,Jobs!$A$2:$A$501,0)),""))</f>
        <v/>
      </c>
      <c r="I421" s="19" t="str">
        <f>IF($B421="","",IFERROR(INDEX(Jobs!$K$2:$K$501,MATCH($B421,Jobs!$A$2:$A$501,0)),""))</f>
        <v/>
      </c>
      <c r="J421" s="16"/>
    </row>
    <row r="422" spans="1:10" x14ac:dyDescent="0.3">
      <c r="A422" s="15" t="str">
        <f t="shared" si="6"/>
        <v/>
      </c>
      <c r="B422" s="16"/>
      <c r="C422" s="15" t="str">
        <f>IF($B422="","",IFERROR(INDEX(Jobs!$B$2:$B$501,MATCH($B422,Jobs!$A$2:$A$501,0)),""))</f>
        <v/>
      </c>
      <c r="D422" s="17"/>
      <c r="E422" s="18"/>
      <c r="F422" s="16"/>
      <c r="G422" s="16"/>
      <c r="H422" s="19" t="str">
        <f>IF($B422="","",IFERROR(INDEX(Jobs!$I$2:$I$501,MATCH($B422,Jobs!$A$2:$A$501,0)),""))</f>
        <v/>
      </c>
      <c r="I422" s="19" t="str">
        <f>IF($B422="","",IFERROR(INDEX(Jobs!$K$2:$K$501,MATCH($B422,Jobs!$A$2:$A$501,0)),""))</f>
        <v/>
      </c>
      <c r="J422" s="16"/>
    </row>
    <row r="423" spans="1:10" x14ac:dyDescent="0.3">
      <c r="A423" s="15" t="str">
        <f t="shared" si="6"/>
        <v/>
      </c>
      <c r="B423" s="16"/>
      <c r="C423" s="15" t="str">
        <f>IF($B423="","",IFERROR(INDEX(Jobs!$B$2:$B$501,MATCH($B423,Jobs!$A$2:$A$501,0)),""))</f>
        <v/>
      </c>
      <c r="D423" s="17"/>
      <c r="E423" s="18"/>
      <c r="F423" s="16"/>
      <c r="G423" s="16"/>
      <c r="H423" s="19" t="str">
        <f>IF($B423="","",IFERROR(INDEX(Jobs!$I$2:$I$501,MATCH($B423,Jobs!$A$2:$A$501,0)),""))</f>
        <v/>
      </c>
      <c r="I423" s="19" t="str">
        <f>IF($B423="","",IFERROR(INDEX(Jobs!$K$2:$K$501,MATCH($B423,Jobs!$A$2:$A$501,0)),""))</f>
        <v/>
      </c>
      <c r="J423" s="16"/>
    </row>
    <row r="424" spans="1:10" x14ac:dyDescent="0.3">
      <c r="A424" s="15" t="str">
        <f t="shared" si="6"/>
        <v/>
      </c>
      <c r="B424" s="16"/>
      <c r="C424" s="15" t="str">
        <f>IF($B424="","",IFERROR(INDEX(Jobs!$B$2:$B$501,MATCH($B424,Jobs!$A$2:$A$501,0)),""))</f>
        <v/>
      </c>
      <c r="D424" s="17"/>
      <c r="E424" s="18"/>
      <c r="F424" s="16"/>
      <c r="G424" s="16"/>
      <c r="H424" s="19" t="str">
        <f>IF($B424="","",IFERROR(INDEX(Jobs!$I$2:$I$501,MATCH($B424,Jobs!$A$2:$A$501,0)),""))</f>
        <v/>
      </c>
      <c r="I424" s="19" t="str">
        <f>IF($B424="","",IFERROR(INDEX(Jobs!$K$2:$K$501,MATCH($B424,Jobs!$A$2:$A$501,0)),""))</f>
        <v/>
      </c>
      <c r="J424" s="16"/>
    </row>
    <row r="425" spans="1:10" x14ac:dyDescent="0.3">
      <c r="A425" s="15" t="str">
        <f t="shared" si="6"/>
        <v/>
      </c>
      <c r="B425" s="16"/>
      <c r="C425" s="15" t="str">
        <f>IF($B425="","",IFERROR(INDEX(Jobs!$B$2:$B$501,MATCH($B425,Jobs!$A$2:$A$501,0)),""))</f>
        <v/>
      </c>
      <c r="D425" s="17"/>
      <c r="E425" s="18"/>
      <c r="F425" s="16"/>
      <c r="G425" s="16"/>
      <c r="H425" s="19" t="str">
        <f>IF($B425="","",IFERROR(INDEX(Jobs!$I$2:$I$501,MATCH($B425,Jobs!$A$2:$A$501,0)),""))</f>
        <v/>
      </c>
      <c r="I425" s="19" t="str">
        <f>IF($B425="","",IFERROR(INDEX(Jobs!$K$2:$K$501,MATCH($B425,Jobs!$A$2:$A$501,0)),""))</f>
        <v/>
      </c>
      <c r="J425" s="16"/>
    </row>
    <row r="426" spans="1:10" x14ac:dyDescent="0.3">
      <c r="A426" s="15" t="str">
        <f t="shared" si="6"/>
        <v/>
      </c>
      <c r="B426" s="16"/>
      <c r="C426" s="15" t="str">
        <f>IF($B426="","",IFERROR(INDEX(Jobs!$B$2:$B$501,MATCH($B426,Jobs!$A$2:$A$501,0)),""))</f>
        <v/>
      </c>
      <c r="D426" s="17"/>
      <c r="E426" s="18"/>
      <c r="F426" s="16"/>
      <c r="G426" s="16"/>
      <c r="H426" s="19" t="str">
        <f>IF($B426="","",IFERROR(INDEX(Jobs!$I$2:$I$501,MATCH($B426,Jobs!$A$2:$A$501,0)),""))</f>
        <v/>
      </c>
      <c r="I426" s="19" t="str">
        <f>IF($B426="","",IFERROR(INDEX(Jobs!$K$2:$K$501,MATCH($B426,Jobs!$A$2:$A$501,0)),""))</f>
        <v/>
      </c>
      <c r="J426" s="16"/>
    </row>
    <row r="427" spans="1:10" x14ac:dyDescent="0.3">
      <c r="A427" s="15" t="str">
        <f t="shared" si="6"/>
        <v/>
      </c>
      <c r="B427" s="16"/>
      <c r="C427" s="15" t="str">
        <f>IF($B427="","",IFERROR(INDEX(Jobs!$B$2:$B$501,MATCH($B427,Jobs!$A$2:$A$501,0)),""))</f>
        <v/>
      </c>
      <c r="D427" s="17"/>
      <c r="E427" s="18"/>
      <c r="F427" s="16"/>
      <c r="G427" s="16"/>
      <c r="H427" s="19" t="str">
        <f>IF($B427="","",IFERROR(INDEX(Jobs!$I$2:$I$501,MATCH($B427,Jobs!$A$2:$A$501,0)),""))</f>
        <v/>
      </c>
      <c r="I427" s="19" t="str">
        <f>IF($B427="","",IFERROR(INDEX(Jobs!$K$2:$K$501,MATCH($B427,Jobs!$A$2:$A$501,0)),""))</f>
        <v/>
      </c>
      <c r="J427" s="16"/>
    </row>
    <row r="428" spans="1:10" x14ac:dyDescent="0.3">
      <c r="A428" s="15" t="str">
        <f t="shared" si="6"/>
        <v/>
      </c>
      <c r="B428" s="16"/>
      <c r="C428" s="15" t="str">
        <f>IF($B428="","",IFERROR(INDEX(Jobs!$B$2:$B$501,MATCH($B428,Jobs!$A$2:$A$501,0)),""))</f>
        <v/>
      </c>
      <c r="D428" s="17"/>
      <c r="E428" s="18"/>
      <c r="F428" s="16"/>
      <c r="G428" s="16"/>
      <c r="H428" s="19" t="str">
        <f>IF($B428="","",IFERROR(INDEX(Jobs!$I$2:$I$501,MATCH($B428,Jobs!$A$2:$A$501,0)),""))</f>
        <v/>
      </c>
      <c r="I428" s="19" t="str">
        <f>IF($B428="","",IFERROR(INDEX(Jobs!$K$2:$K$501,MATCH($B428,Jobs!$A$2:$A$501,0)),""))</f>
        <v/>
      </c>
      <c r="J428" s="16"/>
    </row>
    <row r="429" spans="1:10" x14ac:dyDescent="0.3">
      <c r="A429" s="15" t="str">
        <f t="shared" si="6"/>
        <v/>
      </c>
      <c r="B429" s="16"/>
      <c r="C429" s="15" t="str">
        <f>IF($B429="","",IFERROR(INDEX(Jobs!$B$2:$B$501,MATCH($B429,Jobs!$A$2:$A$501,0)),""))</f>
        <v/>
      </c>
      <c r="D429" s="17"/>
      <c r="E429" s="18"/>
      <c r="F429" s="16"/>
      <c r="G429" s="16"/>
      <c r="H429" s="19" t="str">
        <f>IF($B429="","",IFERROR(INDEX(Jobs!$I$2:$I$501,MATCH($B429,Jobs!$A$2:$A$501,0)),""))</f>
        <v/>
      </c>
      <c r="I429" s="19" t="str">
        <f>IF($B429="","",IFERROR(INDEX(Jobs!$K$2:$K$501,MATCH($B429,Jobs!$A$2:$A$501,0)),""))</f>
        <v/>
      </c>
      <c r="J429" s="16"/>
    </row>
    <row r="430" spans="1:10" x14ac:dyDescent="0.3">
      <c r="A430" s="15" t="str">
        <f t="shared" si="6"/>
        <v/>
      </c>
      <c r="B430" s="16"/>
      <c r="C430" s="15" t="str">
        <f>IF($B430="","",IFERROR(INDEX(Jobs!$B$2:$B$501,MATCH($B430,Jobs!$A$2:$A$501,0)),""))</f>
        <v/>
      </c>
      <c r="D430" s="17"/>
      <c r="E430" s="18"/>
      <c r="F430" s="16"/>
      <c r="G430" s="16"/>
      <c r="H430" s="19" t="str">
        <f>IF($B430="","",IFERROR(INDEX(Jobs!$I$2:$I$501,MATCH($B430,Jobs!$A$2:$A$501,0)),""))</f>
        <v/>
      </c>
      <c r="I430" s="19" t="str">
        <f>IF($B430="","",IFERROR(INDEX(Jobs!$K$2:$K$501,MATCH($B430,Jobs!$A$2:$A$501,0)),""))</f>
        <v/>
      </c>
      <c r="J430" s="16"/>
    </row>
    <row r="431" spans="1:10" x14ac:dyDescent="0.3">
      <c r="A431" s="15" t="str">
        <f t="shared" si="6"/>
        <v/>
      </c>
      <c r="B431" s="16"/>
      <c r="C431" s="15" t="str">
        <f>IF($B431="","",IFERROR(INDEX(Jobs!$B$2:$B$501,MATCH($B431,Jobs!$A$2:$A$501,0)),""))</f>
        <v/>
      </c>
      <c r="D431" s="17"/>
      <c r="E431" s="18"/>
      <c r="F431" s="16"/>
      <c r="G431" s="16"/>
      <c r="H431" s="19" t="str">
        <f>IF($B431="","",IFERROR(INDEX(Jobs!$I$2:$I$501,MATCH($B431,Jobs!$A$2:$A$501,0)),""))</f>
        <v/>
      </c>
      <c r="I431" s="19" t="str">
        <f>IF($B431="","",IFERROR(INDEX(Jobs!$K$2:$K$501,MATCH($B431,Jobs!$A$2:$A$501,0)),""))</f>
        <v/>
      </c>
      <c r="J431" s="16"/>
    </row>
    <row r="432" spans="1:10" x14ac:dyDescent="0.3">
      <c r="A432" s="15" t="str">
        <f t="shared" si="6"/>
        <v/>
      </c>
      <c r="B432" s="16"/>
      <c r="C432" s="15" t="str">
        <f>IF($B432="","",IFERROR(INDEX(Jobs!$B$2:$B$501,MATCH($B432,Jobs!$A$2:$A$501,0)),""))</f>
        <v/>
      </c>
      <c r="D432" s="17"/>
      <c r="E432" s="18"/>
      <c r="F432" s="16"/>
      <c r="G432" s="16"/>
      <c r="H432" s="19" t="str">
        <f>IF($B432="","",IFERROR(INDEX(Jobs!$I$2:$I$501,MATCH($B432,Jobs!$A$2:$A$501,0)),""))</f>
        <v/>
      </c>
      <c r="I432" s="19" t="str">
        <f>IF($B432="","",IFERROR(INDEX(Jobs!$K$2:$K$501,MATCH($B432,Jobs!$A$2:$A$501,0)),""))</f>
        <v/>
      </c>
      <c r="J432" s="16"/>
    </row>
    <row r="433" spans="1:10" x14ac:dyDescent="0.3">
      <c r="A433" s="15" t="str">
        <f t="shared" si="6"/>
        <v/>
      </c>
      <c r="B433" s="16"/>
      <c r="C433" s="15" t="str">
        <f>IF($B433="","",IFERROR(INDEX(Jobs!$B$2:$B$501,MATCH($B433,Jobs!$A$2:$A$501,0)),""))</f>
        <v/>
      </c>
      <c r="D433" s="17"/>
      <c r="E433" s="18"/>
      <c r="F433" s="16"/>
      <c r="G433" s="16"/>
      <c r="H433" s="19" t="str">
        <f>IF($B433="","",IFERROR(INDEX(Jobs!$I$2:$I$501,MATCH($B433,Jobs!$A$2:$A$501,0)),""))</f>
        <v/>
      </c>
      <c r="I433" s="19" t="str">
        <f>IF($B433="","",IFERROR(INDEX(Jobs!$K$2:$K$501,MATCH($B433,Jobs!$A$2:$A$501,0)),""))</f>
        <v/>
      </c>
      <c r="J433" s="16"/>
    </row>
    <row r="434" spans="1:10" x14ac:dyDescent="0.3">
      <c r="A434" s="15" t="str">
        <f t="shared" si="6"/>
        <v/>
      </c>
      <c r="B434" s="16"/>
      <c r="C434" s="15" t="str">
        <f>IF($B434="","",IFERROR(INDEX(Jobs!$B$2:$B$501,MATCH($B434,Jobs!$A$2:$A$501,0)),""))</f>
        <v/>
      </c>
      <c r="D434" s="17"/>
      <c r="E434" s="18"/>
      <c r="F434" s="16"/>
      <c r="G434" s="16"/>
      <c r="H434" s="19" t="str">
        <f>IF($B434="","",IFERROR(INDEX(Jobs!$I$2:$I$501,MATCH($B434,Jobs!$A$2:$A$501,0)),""))</f>
        <v/>
      </c>
      <c r="I434" s="19" t="str">
        <f>IF($B434="","",IFERROR(INDEX(Jobs!$K$2:$K$501,MATCH($B434,Jobs!$A$2:$A$501,0)),""))</f>
        <v/>
      </c>
      <c r="J434" s="16"/>
    </row>
    <row r="435" spans="1:10" x14ac:dyDescent="0.3">
      <c r="A435" s="15" t="str">
        <f t="shared" si="6"/>
        <v/>
      </c>
      <c r="B435" s="16"/>
      <c r="C435" s="15" t="str">
        <f>IF($B435="","",IFERROR(INDEX(Jobs!$B$2:$B$501,MATCH($B435,Jobs!$A$2:$A$501,0)),""))</f>
        <v/>
      </c>
      <c r="D435" s="17"/>
      <c r="E435" s="18"/>
      <c r="F435" s="16"/>
      <c r="G435" s="16"/>
      <c r="H435" s="19" t="str">
        <f>IF($B435="","",IFERROR(INDEX(Jobs!$I$2:$I$501,MATCH($B435,Jobs!$A$2:$A$501,0)),""))</f>
        <v/>
      </c>
      <c r="I435" s="19" t="str">
        <f>IF($B435="","",IFERROR(INDEX(Jobs!$K$2:$K$501,MATCH($B435,Jobs!$A$2:$A$501,0)),""))</f>
        <v/>
      </c>
      <c r="J435" s="16"/>
    </row>
    <row r="436" spans="1:10" x14ac:dyDescent="0.3">
      <c r="A436" s="15" t="str">
        <f t="shared" si="6"/>
        <v/>
      </c>
      <c r="B436" s="16"/>
      <c r="C436" s="15" t="str">
        <f>IF($B436="","",IFERROR(INDEX(Jobs!$B$2:$B$501,MATCH($B436,Jobs!$A$2:$A$501,0)),""))</f>
        <v/>
      </c>
      <c r="D436" s="17"/>
      <c r="E436" s="18"/>
      <c r="F436" s="16"/>
      <c r="G436" s="16"/>
      <c r="H436" s="19" t="str">
        <f>IF($B436="","",IFERROR(INDEX(Jobs!$I$2:$I$501,MATCH($B436,Jobs!$A$2:$A$501,0)),""))</f>
        <v/>
      </c>
      <c r="I436" s="19" t="str">
        <f>IF($B436="","",IFERROR(INDEX(Jobs!$K$2:$K$501,MATCH($B436,Jobs!$A$2:$A$501,0)),""))</f>
        <v/>
      </c>
      <c r="J436" s="16"/>
    </row>
    <row r="437" spans="1:10" x14ac:dyDescent="0.3">
      <c r="A437" s="15" t="str">
        <f t="shared" si="6"/>
        <v/>
      </c>
      <c r="B437" s="16"/>
      <c r="C437" s="15" t="str">
        <f>IF($B437="","",IFERROR(INDEX(Jobs!$B$2:$B$501,MATCH($B437,Jobs!$A$2:$A$501,0)),""))</f>
        <v/>
      </c>
      <c r="D437" s="17"/>
      <c r="E437" s="18"/>
      <c r="F437" s="16"/>
      <c r="G437" s="16"/>
      <c r="H437" s="19" t="str">
        <f>IF($B437="","",IFERROR(INDEX(Jobs!$I$2:$I$501,MATCH($B437,Jobs!$A$2:$A$501,0)),""))</f>
        <v/>
      </c>
      <c r="I437" s="19" t="str">
        <f>IF($B437="","",IFERROR(INDEX(Jobs!$K$2:$K$501,MATCH($B437,Jobs!$A$2:$A$501,0)),""))</f>
        <v/>
      </c>
      <c r="J437" s="16"/>
    </row>
    <row r="438" spans="1:10" x14ac:dyDescent="0.3">
      <c r="A438" s="15" t="str">
        <f t="shared" si="6"/>
        <v/>
      </c>
      <c r="B438" s="16"/>
      <c r="C438" s="15" t="str">
        <f>IF($B438="","",IFERROR(INDEX(Jobs!$B$2:$B$501,MATCH($B438,Jobs!$A$2:$A$501,0)),""))</f>
        <v/>
      </c>
      <c r="D438" s="17"/>
      <c r="E438" s="18"/>
      <c r="F438" s="16"/>
      <c r="G438" s="16"/>
      <c r="H438" s="19" t="str">
        <f>IF($B438="","",IFERROR(INDEX(Jobs!$I$2:$I$501,MATCH($B438,Jobs!$A$2:$A$501,0)),""))</f>
        <v/>
      </c>
      <c r="I438" s="19" t="str">
        <f>IF($B438="","",IFERROR(INDEX(Jobs!$K$2:$K$501,MATCH($B438,Jobs!$A$2:$A$501,0)),""))</f>
        <v/>
      </c>
      <c r="J438" s="16"/>
    </row>
    <row r="439" spans="1:10" x14ac:dyDescent="0.3">
      <c r="A439" s="15" t="str">
        <f t="shared" si="6"/>
        <v/>
      </c>
      <c r="B439" s="16"/>
      <c r="C439" s="15" t="str">
        <f>IF($B439="","",IFERROR(INDEX(Jobs!$B$2:$B$501,MATCH($B439,Jobs!$A$2:$A$501,0)),""))</f>
        <v/>
      </c>
      <c r="D439" s="17"/>
      <c r="E439" s="18"/>
      <c r="F439" s="16"/>
      <c r="G439" s="16"/>
      <c r="H439" s="19" t="str">
        <f>IF($B439="","",IFERROR(INDEX(Jobs!$I$2:$I$501,MATCH($B439,Jobs!$A$2:$A$501,0)),""))</f>
        <v/>
      </c>
      <c r="I439" s="19" t="str">
        <f>IF($B439="","",IFERROR(INDEX(Jobs!$K$2:$K$501,MATCH($B439,Jobs!$A$2:$A$501,0)),""))</f>
        <v/>
      </c>
      <c r="J439" s="16"/>
    </row>
    <row r="440" spans="1:10" x14ac:dyDescent="0.3">
      <c r="A440" s="15" t="str">
        <f t="shared" si="6"/>
        <v/>
      </c>
      <c r="B440" s="16"/>
      <c r="C440" s="15" t="str">
        <f>IF($B440="","",IFERROR(INDEX(Jobs!$B$2:$B$501,MATCH($B440,Jobs!$A$2:$A$501,0)),""))</f>
        <v/>
      </c>
      <c r="D440" s="17"/>
      <c r="E440" s="18"/>
      <c r="F440" s="16"/>
      <c r="G440" s="16"/>
      <c r="H440" s="19" t="str">
        <f>IF($B440="","",IFERROR(INDEX(Jobs!$I$2:$I$501,MATCH($B440,Jobs!$A$2:$A$501,0)),""))</f>
        <v/>
      </c>
      <c r="I440" s="19" t="str">
        <f>IF($B440="","",IFERROR(INDEX(Jobs!$K$2:$K$501,MATCH($B440,Jobs!$A$2:$A$501,0)),""))</f>
        <v/>
      </c>
      <c r="J440" s="16"/>
    </row>
    <row r="441" spans="1:10" x14ac:dyDescent="0.3">
      <c r="A441" s="15" t="str">
        <f t="shared" si="6"/>
        <v/>
      </c>
      <c r="B441" s="16"/>
      <c r="C441" s="15" t="str">
        <f>IF($B441="","",IFERROR(INDEX(Jobs!$B$2:$B$501,MATCH($B441,Jobs!$A$2:$A$501,0)),""))</f>
        <v/>
      </c>
      <c r="D441" s="17"/>
      <c r="E441" s="18"/>
      <c r="F441" s="16"/>
      <c r="G441" s="16"/>
      <c r="H441" s="19" t="str">
        <f>IF($B441="","",IFERROR(INDEX(Jobs!$I$2:$I$501,MATCH($B441,Jobs!$A$2:$A$501,0)),""))</f>
        <v/>
      </c>
      <c r="I441" s="19" t="str">
        <f>IF($B441="","",IFERROR(INDEX(Jobs!$K$2:$K$501,MATCH($B441,Jobs!$A$2:$A$501,0)),""))</f>
        <v/>
      </c>
      <c r="J441" s="16"/>
    </row>
    <row r="442" spans="1:10" x14ac:dyDescent="0.3">
      <c r="A442" s="15" t="str">
        <f t="shared" si="6"/>
        <v/>
      </c>
      <c r="B442" s="16"/>
      <c r="C442" s="15" t="str">
        <f>IF($B442="","",IFERROR(INDEX(Jobs!$B$2:$B$501,MATCH($B442,Jobs!$A$2:$A$501,0)),""))</f>
        <v/>
      </c>
      <c r="D442" s="17"/>
      <c r="E442" s="18"/>
      <c r="F442" s="16"/>
      <c r="G442" s="16"/>
      <c r="H442" s="19" t="str">
        <f>IF($B442="","",IFERROR(INDEX(Jobs!$I$2:$I$501,MATCH($B442,Jobs!$A$2:$A$501,0)),""))</f>
        <v/>
      </c>
      <c r="I442" s="19" t="str">
        <f>IF($B442="","",IFERROR(INDEX(Jobs!$K$2:$K$501,MATCH($B442,Jobs!$A$2:$A$501,0)),""))</f>
        <v/>
      </c>
      <c r="J442" s="16"/>
    </row>
    <row r="443" spans="1:10" x14ac:dyDescent="0.3">
      <c r="A443" s="15" t="str">
        <f t="shared" si="6"/>
        <v/>
      </c>
      <c r="B443" s="16"/>
      <c r="C443" s="15" t="str">
        <f>IF($B443="","",IFERROR(INDEX(Jobs!$B$2:$B$501,MATCH($B443,Jobs!$A$2:$A$501,0)),""))</f>
        <v/>
      </c>
      <c r="D443" s="17"/>
      <c r="E443" s="18"/>
      <c r="F443" s="16"/>
      <c r="G443" s="16"/>
      <c r="H443" s="19" t="str">
        <f>IF($B443="","",IFERROR(INDEX(Jobs!$I$2:$I$501,MATCH($B443,Jobs!$A$2:$A$501,0)),""))</f>
        <v/>
      </c>
      <c r="I443" s="19" t="str">
        <f>IF($B443="","",IFERROR(INDEX(Jobs!$K$2:$K$501,MATCH($B443,Jobs!$A$2:$A$501,0)),""))</f>
        <v/>
      </c>
      <c r="J443" s="16"/>
    </row>
    <row r="444" spans="1:10" x14ac:dyDescent="0.3">
      <c r="A444" s="15" t="str">
        <f t="shared" si="6"/>
        <v/>
      </c>
      <c r="B444" s="16"/>
      <c r="C444" s="15" t="str">
        <f>IF($B444="","",IFERROR(INDEX(Jobs!$B$2:$B$501,MATCH($B444,Jobs!$A$2:$A$501,0)),""))</f>
        <v/>
      </c>
      <c r="D444" s="17"/>
      <c r="E444" s="18"/>
      <c r="F444" s="16"/>
      <c r="G444" s="16"/>
      <c r="H444" s="19" t="str">
        <f>IF($B444="","",IFERROR(INDEX(Jobs!$I$2:$I$501,MATCH($B444,Jobs!$A$2:$A$501,0)),""))</f>
        <v/>
      </c>
      <c r="I444" s="19" t="str">
        <f>IF($B444="","",IFERROR(INDEX(Jobs!$K$2:$K$501,MATCH($B444,Jobs!$A$2:$A$501,0)),""))</f>
        <v/>
      </c>
      <c r="J444" s="16"/>
    </row>
    <row r="445" spans="1:10" x14ac:dyDescent="0.3">
      <c r="A445" s="15" t="str">
        <f t="shared" si="6"/>
        <v/>
      </c>
      <c r="B445" s="16"/>
      <c r="C445" s="15" t="str">
        <f>IF($B445="","",IFERROR(INDEX(Jobs!$B$2:$B$501,MATCH($B445,Jobs!$A$2:$A$501,0)),""))</f>
        <v/>
      </c>
      <c r="D445" s="17"/>
      <c r="E445" s="18"/>
      <c r="F445" s="16"/>
      <c r="G445" s="16"/>
      <c r="H445" s="19" t="str">
        <f>IF($B445="","",IFERROR(INDEX(Jobs!$I$2:$I$501,MATCH($B445,Jobs!$A$2:$A$501,0)),""))</f>
        <v/>
      </c>
      <c r="I445" s="19" t="str">
        <f>IF($B445="","",IFERROR(INDEX(Jobs!$K$2:$K$501,MATCH($B445,Jobs!$A$2:$A$501,0)),""))</f>
        <v/>
      </c>
      <c r="J445" s="16"/>
    </row>
    <row r="446" spans="1:10" x14ac:dyDescent="0.3">
      <c r="A446" s="15" t="str">
        <f t="shared" si="6"/>
        <v/>
      </c>
      <c r="B446" s="16"/>
      <c r="C446" s="15" t="str">
        <f>IF($B446="","",IFERROR(INDEX(Jobs!$B$2:$B$501,MATCH($B446,Jobs!$A$2:$A$501,0)),""))</f>
        <v/>
      </c>
      <c r="D446" s="17"/>
      <c r="E446" s="18"/>
      <c r="F446" s="16"/>
      <c r="G446" s="16"/>
      <c r="H446" s="19" t="str">
        <f>IF($B446="","",IFERROR(INDEX(Jobs!$I$2:$I$501,MATCH($B446,Jobs!$A$2:$A$501,0)),""))</f>
        <v/>
      </c>
      <c r="I446" s="19" t="str">
        <f>IF($B446="","",IFERROR(INDEX(Jobs!$K$2:$K$501,MATCH($B446,Jobs!$A$2:$A$501,0)),""))</f>
        <v/>
      </c>
      <c r="J446" s="16"/>
    </row>
    <row r="447" spans="1:10" x14ac:dyDescent="0.3">
      <c r="A447" s="15" t="str">
        <f t="shared" si="6"/>
        <v/>
      </c>
      <c r="B447" s="16"/>
      <c r="C447" s="15" t="str">
        <f>IF($B447="","",IFERROR(INDEX(Jobs!$B$2:$B$501,MATCH($B447,Jobs!$A$2:$A$501,0)),""))</f>
        <v/>
      </c>
      <c r="D447" s="17"/>
      <c r="E447" s="18"/>
      <c r="F447" s="16"/>
      <c r="G447" s="16"/>
      <c r="H447" s="19" t="str">
        <f>IF($B447="","",IFERROR(INDEX(Jobs!$I$2:$I$501,MATCH($B447,Jobs!$A$2:$A$501,0)),""))</f>
        <v/>
      </c>
      <c r="I447" s="19" t="str">
        <f>IF($B447="","",IFERROR(INDEX(Jobs!$K$2:$K$501,MATCH($B447,Jobs!$A$2:$A$501,0)),""))</f>
        <v/>
      </c>
      <c r="J447" s="16"/>
    </row>
    <row r="448" spans="1:10" x14ac:dyDescent="0.3">
      <c r="A448" s="15" t="str">
        <f t="shared" si="6"/>
        <v/>
      </c>
      <c r="B448" s="16"/>
      <c r="C448" s="15" t="str">
        <f>IF($B448="","",IFERROR(INDEX(Jobs!$B$2:$B$501,MATCH($B448,Jobs!$A$2:$A$501,0)),""))</f>
        <v/>
      </c>
      <c r="D448" s="17"/>
      <c r="E448" s="18"/>
      <c r="F448" s="16"/>
      <c r="G448" s="16"/>
      <c r="H448" s="19" t="str">
        <f>IF($B448="","",IFERROR(INDEX(Jobs!$I$2:$I$501,MATCH($B448,Jobs!$A$2:$A$501,0)),""))</f>
        <v/>
      </c>
      <c r="I448" s="19" t="str">
        <f>IF($B448="","",IFERROR(INDEX(Jobs!$K$2:$K$501,MATCH($B448,Jobs!$A$2:$A$501,0)),""))</f>
        <v/>
      </c>
      <c r="J448" s="16"/>
    </row>
    <row r="449" spans="1:10" x14ac:dyDescent="0.3">
      <c r="A449" s="15" t="str">
        <f t="shared" si="6"/>
        <v/>
      </c>
      <c r="B449" s="16"/>
      <c r="C449" s="15" t="str">
        <f>IF($B449="","",IFERROR(INDEX(Jobs!$B$2:$B$501,MATCH($B449,Jobs!$A$2:$A$501,0)),""))</f>
        <v/>
      </c>
      <c r="D449" s="17"/>
      <c r="E449" s="18"/>
      <c r="F449" s="16"/>
      <c r="G449" s="16"/>
      <c r="H449" s="19" t="str">
        <f>IF($B449="","",IFERROR(INDEX(Jobs!$I$2:$I$501,MATCH($B449,Jobs!$A$2:$A$501,0)),""))</f>
        <v/>
      </c>
      <c r="I449" s="19" t="str">
        <f>IF($B449="","",IFERROR(INDEX(Jobs!$K$2:$K$501,MATCH($B449,Jobs!$A$2:$A$501,0)),""))</f>
        <v/>
      </c>
      <c r="J449" s="16"/>
    </row>
    <row r="450" spans="1:10" x14ac:dyDescent="0.3">
      <c r="A450" s="15" t="str">
        <f t="shared" ref="A450:A501" si="7">IF(B450="","","PAY-"&amp;TEXT(ROW()-1,"0000"))</f>
        <v/>
      </c>
      <c r="B450" s="16"/>
      <c r="C450" s="15" t="str">
        <f>IF($B450="","",IFERROR(INDEX(Jobs!$B$2:$B$501,MATCH($B450,Jobs!$A$2:$A$501,0)),""))</f>
        <v/>
      </c>
      <c r="D450" s="17"/>
      <c r="E450" s="18"/>
      <c r="F450" s="16"/>
      <c r="G450" s="16"/>
      <c r="H450" s="19" t="str">
        <f>IF($B450="","",IFERROR(INDEX(Jobs!$I$2:$I$501,MATCH($B450,Jobs!$A$2:$A$501,0)),""))</f>
        <v/>
      </c>
      <c r="I450" s="19" t="str">
        <f>IF($B450="","",IFERROR(INDEX(Jobs!$K$2:$K$501,MATCH($B450,Jobs!$A$2:$A$501,0)),""))</f>
        <v/>
      </c>
      <c r="J450" s="16"/>
    </row>
    <row r="451" spans="1:10" x14ac:dyDescent="0.3">
      <c r="A451" s="15" t="str">
        <f t="shared" si="7"/>
        <v/>
      </c>
      <c r="B451" s="16"/>
      <c r="C451" s="15" t="str">
        <f>IF($B451="","",IFERROR(INDEX(Jobs!$B$2:$B$501,MATCH($B451,Jobs!$A$2:$A$501,0)),""))</f>
        <v/>
      </c>
      <c r="D451" s="17"/>
      <c r="E451" s="18"/>
      <c r="F451" s="16"/>
      <c r="G451" s="16"/>
      <c r="H451" s="19" t="str">
        <f>IF($B451="","",IFERROR(INDEX(Jobs!$I$2:$I$501,MATCH($B451,Jobs!$A$2:$A$501,0)),""))</f>
        <v/>
      </c>
      <c r="I451" s="19" t="str">
        <f>IF($B451="","",IFERROR(INDEX(Jobs!$K$2:$K$501,MATCH($B451,Jobs!$A$2:$A$501,0)),""))</f>
        <v/>
      </c>
      <c r="J451" s="16"/>
    </row>
    <row r="452" spans="1:10" x14ac:dyDescent="0.3">
      <c r="A452" s="15" t="str">
        <f t="shared" si="7"/>
        <v/>
      </c>
      <c r="B452" s="16"/>
      <c r="C452" s="15" t="str">
        <f>IF($B452="","",IFERROR(INDEX(Jobs!$B$2:$B$501,MATCH($B452,Jobs!$A$2:$A$501,0)),""))</f>
        <v/>
      </c>
      <c r="D452" s="17"/>
      <c r="E452" s="18"/>
      <c r="F452" s="16"/>
      <c r="G452" s="16"/>
      <c r="H452" s="19" t="str">
        <f>IF($B452="","",IFERROR(INDEX(Jobs!$I$2:$I$501,MATCH($B452,Jobs!$A$2:$A$501,0)),""))</f>
        <v/>
      </c>
      <c r="I452" s="19" t="str">
        <f>IF($B452="","",IFERROR(INDEX(Jobs!$K$2:$K$501,MATCH($B452,Jobs!$A$2:$A$501,0)),""))</f>
        <v/>
      </c>
      <c r="J452" s="16"/>
    </row>
    <row r="453" spans="1:10" x14ac:dyDescent="0.3">
      <c r="A453" s="15" t="str">
        <f t="shared" si="7"/>
        <v/>
      </c>
      <c r="B453" s="16"/>
      <c r="C453" s="15" t="str">
        <f>IF($B453="","",IFERROR(INDEX(Jobs!$B$2:$B$501,MATCH($B453,Jobs!$A$2:$A$501,0)),""))</f>
        <v/>
      </c>
      <c r="D453" s="17"/>
      <c r="E453" s="18"/>
      <c r="F453" s="16"/>
      <c r="G453" s="16"/>
      <c r="H453" s="19" t="str">
        <f>IF($B453="","",IFERROR(INDEX(Jobs!$I$2:$I$501,MATCH($B453,Jobs!$A$2:$A$501,0)),""))</f>
        <v/>
      </c>
      <c r="I453" s="19" t="str">
        <f>IF($B453="","",IFERROR(INDEX(Jobs!$K$2:$K$501,MATCH($B453,Jobs!$A$2:$A$501,0)),""))</f>
        <v/>
      </c>
      <c r="J453" s="16"/>
    </row>
    <row r="454" spans="1:10" x14ac:dyDescent="0.3">
      <c r="A454" s="15" t="str">
        <f t="shared" si="7"/>
        <v/>
      </c>
      <c r="B454" s="16"/>
      <c r="C454" s="15" t="str">
        <f>IF($B454="","",IFERROR(INDEX(Jobs!$B$2:$B$501,MATCH($B454,Jobs!$A$2:$A$501,0)),""))</f>
        <v/>
      </c>
      <c r="D454" s="17"/>
      <c r="E454" s="18"/>
      <c r="F454" s="16"/>
      <c r="G454" s="16"/>
      <c r="H454" s="19" t="str">
        <f>IF($B454="","",IFERROR(INDEX(Jobs!$I$2:$I$501,MATCH($B454,Jobs!$A$2:$A$501,0)),""))</f>
        <v/>
      </c>
      <c r="I454" s="19" t="str">
        <f>IF($B454="","",IFERROR(INDEX(Jobs!$K$2:$K$501,MATCH($B454,Jobs!$A$2:$A$501,0)),""))</f>
        <v/>
      </c>
      <c r="J454" s="16"/>
    </row>
    <row r="455" spans="1:10" x14ac:dyDescent="0.3">
      <c r="A455" s="15" t="str">
        <f t="shared" si="7"/>
        <v/>
      </c>
      <c r="B455" s="16"/>
      <c r="C455" s="15" t="str">
        <f>IF($B455="","",IFERROR(INDEX(Jobs!$B$2:$B$501,MATCH($B455,Jobs!$A$2:$A$501,0)),""))</f>
        <v/>
      </c>
      <c r="D455" s="17"/>
      <c r="E455" s="18"/>
      <c r="F455" s="16"/>
      <c r="G455" s="16"/>
      <c r="H455" s="19" t="str">
        <f>IF($B455="","",IFERROR(INDEX(Jobs!$I$2:$I$501,MATCH($B455,Jobs!$A$2:$A$501,0)),""))</f>
        <v/>
      </c>
      <c r="I455" s="19" t="str">
        <f>IF($B455="","",IFERROR(INDEX(Jobs!$K$2:$K$501,MATCH($B455,Jobs!$A$2:$A$501,0)),""))</f>
        <v/>
      </c>
      <c r="J455" s="16"/>
    </row>
    <row r="456" spans="1:10" x14ac:dyDescent="0.3">
      <c r="A456" s="15" t="str">
        <f t="shared" si="7"/>
        <v/>
      </c>
      <c r="B456" s="16"/>
      <c r="C456" s="15" t="str">
        <f>IF($B456="","",IFERROR(INDEX(Jobs!$B$2:$B$501,MATCH($B456,Jobs!$A$2:$A$501,0)),""))</f>
        <v/>
      </c>
      <c r="D456" s="17"/>
      <c r="E456" s="18"/>
      <c r="F456" s="16"/>
      <c r="G456" s="16"/>
      <c r="H456" s="19" t="str">
        <f>IF($B456="","",IFERROR(INDEX(Jobs!$I$2:$I$501,MATCH($B456,Jobs!$A$2:$A$501,0)),""))</f>
        <v/>
      </c>
      <c r="I456" s="19" t="str">
        <f>IF($B456="","",IFERROR(INDEX(Jobs!$K$2:$K$501,MATCH($B456,Jobs!$A$2:$A$501,0)),""))</f>
        <v/>
      </c>
      <c r="J456" s="16"/>
    </row>
    <row r="457" spans="1:10" x14ac:dyDescent="0.3">
      <c r="A457" s="15" t="str">
        <f t="shared" si="7"/>
        <v/>
      </c>
      <c r="B457" s="16"/>
      <c r="C457" s="15" t="str">
        <f>IF($B457="","",IFERROR(INDEX(Jobs!$B$2:$B$501,MATCH($B457,Jobs!$A$2:$A$501,0)),""))</f>
        <v/>
      </c>
      <c r="D457" s="17"/>
      <c r="E457" s="18"/>
      <c r="F457" s="16"/>
      <c r="G457" s="16"/>
      <c r="H457" s="19" t="str">
        <f>IF($B457="","",IFERROR(INDEX(Jobs!$I$2:$I$501,MATCH($B457,Jobs!$A$2:$A$501,0)),""))</f>
        <v/>
      </c>
      <c r="I457" s="19" t="str">
        <f>IF($B457="","",IFERROR(INDEX(Jobs!$K$2:$K$501,MATCH($B457,Jobs!$A$2:$A$501,0)),""))</f>
        <v/>
      </c>
      <c r="J457" s="16"/>
    </row>
    <row r="458" spans="1:10" x14ac:dyDescent="0.3">
      <c r="A458" s="15" t="str">
        <f t="shared" si="7"/>
        <v/>
      </c>
      <c r="B458" s="16"/>
      <c r="C458" s="15" t="str">
        <f>IF($B458="","",IFERROR(INDEX(Jobs!$B$2:$B$501,MATCH($B458,Jobs!$A$2:$A$501,0)),""))</f>
        <v/>
      </c>
      <c r="D458" s="17"/>
      <c r="E458" s="18"/>
      <c r="F458" s="16"/>
      <c r="G458" s="16"/>
      <c r="H458" s="19" t="str">
        <f>IF($B458="","",IFERROR(INDEX(Jobs!$I$2:$I$501,MATCH($B458,Jobs!$A$2:$A$501,0)),""))</f>
        <v/>
      </c>
      <c r="I458" s="19" t="str">
        <f>IF($B458="","",IFERROR(INDEX(Jobs!$K$2:$K$501,MATCH($B458,Jobs!$A$2:$A$501,0)),""))</f>
        <v/>
      </c>
      <c r="J458" s="16"/>
    </row>
    <row r="459" spans="1:10" x14ac:dyDescent="0.3">
      <c r="A459" s="15" t="str">
        <f t="shared" si="7"/>
        <v/>
      </c>
      <c r="B459" s="16"/>
      <c r="C459" s="15" t="str">
        <f>IF($B459="","",IFERROR(INDEX(Jobs!$B$2:$B$501,MATCH($B459,Jobs!$A$2:$A$501,0)),""))</f>
        <v/>
      </c>
      <c r="D459" s="17"/>
      <c r="E459" s="18"/>
      <c r="F459" s="16"/>
      <c r="G459" s="16"/>
      <c r="H459" s="19" t="str">
        <f>IF($B459="","",IFERROR(INDEX(Jobs!$I$2:$I$501,MATCH($B459,Jobs!$A$2:$A$501,0)),""))</f>
        <v/>
      </c>
      <c r="I459" s="19" t="str">
        <f>IF($B459="","",IFERROR(INDEX(Jobs!$K$2:$K$501,MATCH($B459,Jobs!$A$2:$A$501,0)),""))</f>
        <v/>
      </c>
      <c r="J459" s="16"/>
    </row>
    <row r="460" spans="1:10" x14ac:dyDescent="0.3">
      <c r="A460" s="15" t="str">
        <f t="shared" si="7"/>
        <v/>
      </c>
      <c r="B460" s="16"/>
      <c r="C460" s="15" t="str">
        <f>IF($B460="","",IFERROR(INDEX(Jobs!$B$2:$B$501,MATCH($B460,Jobs!$A$2:$A$501,0)),""))</f>
        <v/>
      </c>
      <c r="D460" s="17"/>
      <c r="E460" s="18"/>
      <c r="F460" s="16"/>
      <c r="G460" s="16"/>
      <c r="H460" s="19" t="str">
        <f>IF($B460="","",IFERROR(INDEX(Jobs!$I$2:$I$501,MATCH($B460,Jobs!$A$2:$A$501,0)),""))</f>
        <v/>
      </c>
      <c r="I460" s="19" t="str">
        <f>IF($B460="","",IFERROR(INDEX(Jobs!$K$2:$K$501,MATCH($B460,Jobs!$A$2:$A$501,0)),""))</f>
        <v/>
      </c>
      <c r="J460" s="16"/>
    </row>
    <row r="461" spans="1:10" x14ac:dyDescent="0.3">
      <c r="A461" s="15" t="str">
        <f t="shared" si="7"/>
        <v/>
      </c>
      <c r="B461" s="16"/>
      <c r="C461" s="15" t="str">
        <f>IF($B461="","",IFERROR(INDEX(Jobs!$B$2:$B$501,MATCH($B461,Jobs!$A$2:$A$501,0)),""))</f>
        <v/>
      </c>
      <c r="D461" s="17"/>
      <c r="E461" s="18"/>
      <c r="F461" s="16"/>
      <c r="G461" s="16"/>
      <c r="H461" s="19" t="str">
        <f>IF($B461="","",IFERROR(INDEX(Jobs!$I$2:$I$501,MATCH($B461,Jobs!$A$2:$A$501,0)),""))</f>
        <v/>
      </c>
      <c r="I461" s="19" t="str">
        <f>IF($B461="","",IFERROR(INDEX(Jobs!$K$2:$K$501,MATCH($B461,Jobs!$A$2:$A$501,0)),""))</f>
        <v/>
      </c>
      <c r="J461" s="16"/>
    </row>
    <row r="462" spans="1:10" x14ac:dyDescent="0.3">
      <c r="A462" s="15" t="str">
        <f t="shared" si="7"/>
        <v/>
      </c>
      <c r="B462" s="16"/>
      <c r="C462" s="15" t="str">
        <f>IF($B462="","",IFERROR(INDEX(Jobs!$B$2:$B$501,MATCH($B462,Jobs!$A$2:$A$501,0)),""))</f>
        <v/>
      </c>
      <c r="D462" s="17"/>
      <c r="E462" s="18"/>
      <c r="F462" s="16"/>
      <c r="G462" s="16"/>
      <c r="H462" s="19" t="str">
        <f>IF($B462="","",IFERROR(INDEX(Jobs!$I$2:$I$501,MATCH($B462,Jobs!$A$2:$A$501,0)),""))</f>
        <v/>
      </c>
      <c r="I462" s="19" t="str">
        <f>IF($B462="","",IFERROR(INDEX(Jobs!$K$2:$K$501,MATCH($B462,Jobs!$A$2:$A$501,0)),""))</f>
        <v/>
      </c>
      <c r="J462" s="16"/>
    </row>
    <row r="463" spans="1:10" x14ac:dyDescent="0.3">
      <c r="A463" s="15" t="str">
        <f t="shared" si="7"/>
        <v/>
      </c>
      <c r="B463" s="16"/>
      <c r="C463" s="15" t="str">
        <f>IF($B463="","",IFERROR(INDEX(Jobs!$B$2:$B$501,MATCH($B463,Jobs!$A$2:$A$501,0)),""))</f>
        <v/>
      </c>
      <c r="D463" s="17"/>
      <c r="E463" s="18"/>
      <c r="F463" s="16"/>
      <c r="G463" s="16"/>
      <c r="H463" s="19" t="str">
        <f>IF($B463="","",IFERROR(INDEX(Jobs!$I$2:$I$501,MATCH($B463,Jobs!$A$2:$A$501,0)),""))</f>
        <v/>
      </c>
      <c r="I463" s="19" t="str">
        <f>IF($B463="","",IFERROR(INDEX(Jobs!$K$2:$K$501,MATCH($B463,Jobs!$A$2:$A$501,0)),""))</f>
        <v/>
      </c>
      <c r="J463" s="16"/>
    </row>
    <row r="464" spans="1:10" x14ac:dyDescent="0.3">
      <c r="A464" s="15" t="str">
        <f t="shared" si="7"/>
        <v/>
      </c>
      <c r="B464" s="16"/>
      <c r="C464" s="15" t="str">
        <f>IF($B464="","",IFERROR(INDEX(Jobs!$B$2:$B$501,MATCH($B464,Jobs!$A$2:$A$501,0)),""))</f>
        <v/>
      </c>
      <c r="D464" s="17"/>
      <c r="E464" s="18"/>
      <c r="F464" s="16"/>
      <c r="G464" s="16"/>
      <c r="H464" s="19" t="str">
        <f>IF($B464="","",IFERROR(INDEX(Jobs!$I$2:$I$501,MATCH($B464,Jobs!$A$2:$A$501,0)),""))</f>
        <v/>
      </c>
      <c r="I464" s="19" t="str">
        <f>IF($B464="","",IFERROR(INDEX(Jobs!$K$2:$K$501,MATCH($B464,Jobs!$A$2:$A$501,0)),""))</f>
        <v/>
      </c>
      <c r="J464" s="16"/>
    </row>
    <row r="465" spans="1:10" x14ac:dyDescent="0.3">
      <c r="A465" s="15" t="str">
        <f t="shared" si="7"/>
        <v/>
      </c>
      <c r="B465" s="16"/>
      <c r="C465" s="15" t="str">
        <f>IF($B465="","",IFERROR(INDEX(Jobs!$B$2:$B$501,MATCH($B465,Jobs!$A$2:$A$501,0)),""))</f>
        <v/>
      </c>
      <c r="D465" s="17"/>
      <c r="E465" s="18"/>
      <c r="F465" s="16"/>
      <c r="G465" s="16"/>
      <c r="H465" s="19" t="str">
        <f>IF($B465="","",IFERROR(INDEX(Jobs!$I$2:$I$501,MATCH($B465,Jobs!$A$2:$A$501,0)),""))</f>
        <v/>
      </c>
      <c r="I465" s="19" t="str">
        <f>IF($B465="","",IFERROR(INDEX(Jobs!$K$2:$K$501,MATCH($B465,Jobs!$A$2:$A$501,0)),""))</f>
        <v/>
      </c>
      <c r="J465" s="16"/>
    </row>
    <row r="466" spans="1:10" x14ac:dyDescent="0.3">
      <c r="A466" s="15" t="str">
        <f t="shared" si="7"/>
        <v/>
      </c>
      <c r="B466" s="16"/>
      <c r="C466" s="15" t="str">
        <f>IF($B466="","",IFERROR(INDEX(Jobs!$B$2:$B$501,MATCH($B466,Jobs!$A$2:$A$501,0)),""))</f>
        <v/>
      </c>
      <c r="D466" s="17"/>
      <c r="E466" s="18"/>
      <c r="F466" s="16"/>
      <c r="G466" s="16"/>
      <c r="H466" s="19" t="str">
        <f>IF($B466="","",IFERROR(INDEX(Jobs!$I$2:$I$501,MATCH($B466,Jobs!$A$2:$A$501,0)),""))</f>
        <v/>
      </c>
      <c r="I466" s="19" t="str">
        <f>IF($B466="","",IFERROR(INDEX(Jobs!$K$2:$K$501,MATCH($B466,Jobs!$A$2:$A$501,0)),""))</f>
        <v/>
      </c>
      <c r="J466" s="16"/>
    </row>
    <row r="467" spans="1:10" x14ac:dyDescent="0.3">
      <c r="A467" s="15" t="str">
        <f t="shared" si="7"/>
        <v/>
      </c>
      <c r="B467" s="16"/>
      <c r="C467" s="15" t="str">
        <f>IF($B467="","",IFERROR(INDEX(Jobs!$B$2:$B$501,MATCH($B467,Jobs!$A$2:$A$501,0)),""))</f>
        <v/>
      </c>
      <c r="D467" s="17"/>
      <c r="E467" s="18"/>
      <c r="F467" s="16"/>
      <c r="G467" s="16"/>
      <c r="H467" s="19" t="str">
        <f>IF($B467="","",IFERROR(INDEX(Jobs!$I$2:$I$501,MATCH($B467,Jobs!$A$2:$A$501,0)),""))</f>
        <v/>
      </c>
      <c r="I467" s="19" t="str">
        <f>IF($B467="","",IFERROR(INDEX(Jobs!$K$2:$K$501,MATCH($B467,Jobs!$A$2:$A$501,0)),""))</f>
        <v/>
      </c>
      <c r="J467" s="16"/>
    </row>
    <row r="468" spans="1:10" x14ac:dyDescent="0.3">
      <c r="A468" s="15" t="str">
        <f t="shared" si="7"/>
        <v/>
      </c>
      <c r="B468" s="16"/>
      <c r="C468" s="15" t="str">
        <f>IF($B468="","",IFERROR(INDEX(Jobs!$B$2:$B$501,MATCH($B468,Jobs!$A$2:$A$501,0)),""))</f>
        <v/>
      </c>
      <c r="D468" s="17"/>
      <c r="E468" s="18"/>
      <c r="F468" s="16"/>
      <c r="G468" s="16"/>
      <c r="H468" s="19" t="str">
        <f>IF($B468="","",IFERROR(INDEX(Jobs!$I$2:$I$501,MATCH($B468,Jobs!$A$2:$A$501,0)),""))</f>
        <v/>
      </c>
      <c r="I468" s="19" t="str">
        <f>IF($B468="","",IFERROR(INDEX(Jobs!$K$2:$K$501,MATCH($B468,Jobs!$A$2:$A$501,0)),""))</f>
        <v/>
      </c>
      <c r="J468" s="16"/>
    </row>
    <row r="469" spans="1:10" x14ac:dyDescent="0.3">
      <c r="A469" s="15" t="str">
        <f t="shared" si="7"/>
        <v/>
      </c>
      <c r="B469" s="16"/>
      <c r="C469" s="15" t="str">
        <f>IF($B469="","",IFERROR(INDEX(Jobs!$B$2:$B$501,MATCH($B469,Jobs!$A$2:$A$501,0)),""))</f>
        <v/>
      </c>
      <c r="D469" s="17"/>
      <c r="E469" s="18"/>
      <c r="F469" s="16"/>
      <c r="G469" s="16"/>
      <c r="H469" s="19" t="str">
        <f>IF($B469="","",IFERROR(INDEX(Jobs!$I$2:$I$501,MATCH($B469,Jobs!$A$2:$A$501,0)),""))</f>
        <v/>
      </c>
      <c r="I469" s="19" t="str">
        <f>IF($B469="","",IFERROR(INDEX(Jobs!$K$2:$K$501,MATCH($B469,Jobs!$A$2:$A$501,0)),""))</f>
        <v/>
      </c>
      <c r="J469" s="16"/>
    </row>
    <row r="470" spans="1:10" x14ac:dyDescent="0.3">
      <c r="A470" s="15" t="str">
        <f t="shared" si="7"/>
        <v/>
      </c>
      <c r="B470" s="16"/>
      <c r="C470" s="15" t="str">
        <f>IF($B470="","",IFERROR(INDEX(Jobs!$B$2:$B$501,MATCH($B470,Jobs!$A$2:$A$501,0)),""))</f>
        <v/>
      </c>
      <c r="D470" s="17"/>
      <c r="E470" s="18"/>
      <c r="F470" s="16"/>
      <c r="G470" s="16"/>
      <c r="H470" s="19" t="str">
        <f>IF($B470="","",IFERROR(INDEX(Jobs!$I$2:$I$501,MATCH($B470,Jobs!$A$2:$A$501,0)),""))</f>
        <v/>
      </c>
      <c r="I470" s="19" t="str">
        <f>IF($B470="","",IFERROR(INDEX(Jobs!$K$2:$K$501,MATCH($B470,Jobs!$A$2:$A$501,0)),""))</f>
        <v/>
      </c>
      <c r="J470" s="16"/>
    </row>
    <row r="471" spans="1:10" x14ac:dyDescent="0.3">
      <c r="A471" s="15" t="str">
        <f t="shared" si="7"/>
        <v/>
      </c>
      <c r="B471" s="16"/>
      <c r="C471" s="15" t="str">
        <f>IF($B471="","",IFERROR(INDEX(Jobs!$B$2:$B$501,MATCH($B471,Jobs!$A$2:$A$501,0)),""))</f>
        <v/>
      </c>
      <c r="D471" s="17"/>
      <c r="E471" s="18"/>
      <c r="F471" s="16"/>
      <c r="G471" s="16"/>
      <c r="H471" s="19" t="str">
        <f>IF($B471="","",IFERROR(INDEX(Jobs!$I$2:$I$501,MATCH($B471,Jobs!$A$2:$A$501,0)),""))</f>
        <v/>
      </c>
      <c r="I471" s="19" t="str">
        <f>IF($B471="","",IFERROR(INDEX(Jobs!$K$2:$K$501,MATCH($B471,Jobs!$A$2:$A$501,0)),""))</f>
        <v/>
      </c>
      <c r="J471" s="16"/>
    </row>
    <row r="472" spans="1:10" x14ac:dyDescent="0.3">
      <c r="A472" s="15" t="str">
        <f t="shared" si="7"/>
        <v/>
      </c>
      <c r="B472" s="16"/>
      <c r="C472" s="15" t="str">
        <f>IF($B472="","",IFERROR(INDEX(Jobs!$B$2:$B$501,MATCH($B472,Jobs!$A$2:$A$501,0)),""))</f>
        <v/>
      </c>
      <c r="D472" s="17"/>
      <c r="E472" s="18"/>
      <c r="F472" s="16"/>
      <c r="G472" s="16"/>
      <c r="H472" s="19" t="str">
        <f>IF($B472="","",IFERROR(INDEX(Jobs!$I$2:$I$501,MATCH($B472,Jobs!$A$2:$A$501,0)),""))</f>
        <v/>
      </c>
      <c r="I472" s="19" t="str">
        <f>IF($B472="","",IFERROR(INDEX(Jobs!$K$2:$K$501,MATCH($B472,Jobs!$A$2:$A$501,0)),""))</f>
        <v/>
      </c>
      <c r="J472" s="16"/>
    </row>
    <row r="473" spans="1:10" x14ac:dyDescent="0.3">
      <c r="A473" s="15" t="str">
        <f t="shared" si="7"/>
        <v/>
      </c>
      <c r="B473" s="16"/>
      <c r="C473" s="15" t="str">
        <f>IF($B473="","",IFERROR(INDEX(Jobs!$B$2:$B$501,MATCH($B473,Jobs!$A$2:$A$501,0)),""))</f>
        <v/>
      </c>
      <c r="D473" s="17"/>
      <c r="E473" s="18"/>
      <c r="F473" s="16"/>
      <c r="G473" s="16"/>
      <c r="H473" s="19" t="str">
        <f>IF($B473="","",IFERROR(INDEX(Jobs!$I$2:$I$501,MATCH($B473,Jobs!$A$2:$A$501,0)),""))</f>
        <v/>
      </c>
      <c r="I473" s="19" t="str">
        <f>IF($B473="","",IFERROR(INDEX(Jobs!$K$2:$K$501,MATCH($B473,Jobs!$A$2:$A$501,0)),""))</f>
        <v/>
      </c>
      <c r="J473" s="16"/>
    </row>
    <row r="474" spans="1:10" x14ac:dyDescent="0.3">
      <c r="A474" s="15" t="str">
        <f t="shared" si="7"/>
        <v/>
      </c>
      <c r="B474" s="16"/>
      <c r="C474" s="15" t="str">
        <f>IF($B474="","",IFERROR(INDEX(Jobs!$B$2:$B$501,MATCH($B474,Jobs!$A$2:$A$501,0)),""))</f>
        <v/>
      </c>
      <c r="D474" s="17"/>
      <c r="E474" s="18"/>
      <c r="F474" s="16"/>
      <c r="G474" s="16"/>
      <c r="H474" s="19" t="str">
        <f>IF($B474="","",IFERROR(INDEX(Jobs!$I$2:$I$501,MATCH($B474,Jobs!$A$2:$A$501,0)),""))</f>
        <v/>
      </c>
      <c r="I474" s="19" t="str">
        <f>IF($B474="","",IFERROR(INDEX(Jobs!$K$2:$K$501,MATCH($B474,Jobs!$A$2:$A$501,0)),""))</f>
        <v/>
      </c>
      <c r="J474" s="16"/>
    </row>
    <row r="475" spans="1:10" x14ac:dyDescent="0.3">
      <c r="A475" s="15" t="str">
        <f t="shared" si="7"/>
        <v/>
      </c>
      <c r="B475" s="16"/>
      <c r="C475" s="15" t="str">
        <f>IF($B475="","",IFERROR(INDEX(Jobs!$B$2:$B$501,MATCH($B475,Jobs!$A$2:$A$501,0)),""))</f>
        <v/>
      </c>
      <c r="D475" s="17"/>
      <c r="E475" s="18"/>
      <c r="F475" s="16"/>
      <c r="G475" s="16"/>
      <c r="H475" s="19" t="str">
        <f>IF($B475="","",IFERROR(INDEX(Jobs!$I$2:$I$501,MATCH($B475,Jobs!$A$2:$A$501,0)),""))</f>
        <v/>
      </c>
      <c r="I475" s="19" t="str">
        <f>IF($B475="","",IFERROR(INDEX(Jobs!$K$2:$K$501,MATCH($B475,Jobs!$A$2:$A$501,0)),""))</f>
        <v/>
      </c>
      <c r="J475" s="16"/>
    </row>
    <row r="476" spans="1:10" x14ac:dyDescent="0.3">
      <c r="A476" s="15" t="str">
        <f t="shared" si="7"/>
        <v/>
      </c>
      <c r="B476" s="16"/>
      <c r="C476" s="15" t="str">
        <f>IF($B476="","",IFERROR(INDEX(Jobs!$B$2:$B$501,MATCH($B476,Jobs!$A$2:$A$501,0)),""))</f>
        <v/>
      </c>
      <c r="D476" s="17"/>
      <c r="E476" s="18"/>
      <c r="F476" s="16"/>
      <c r="G476" s="16"/>
      <c r="H476" s="19" t="str">
        <f>IF($B476="","",IFERROR(INDEX(Jobs!$I$2:$I$501,MATCH($B476,Jobs!$A$2:$A$501,0)),""))</f>
        <v/>
      </c>
      <c r="I476" s="19" t="str">
        <f>IF($B476="","",IFERROR(INDEX(Jobs!$K$2:$K$501,MATCH($B476,Jobs!$A$2:$A$501,0)),""))</f>
        <v/>
      </c>
      <c r="J476" s="16"/>
    </row>
    <row r="477" spans="1:10" x14ac:dyDescent="0.3">
      <c r="A477" s="15" t="str">
        <f t="shared" si="7"/>
        <v/>
      </c>
      <c r="B477" s="16"/>
      <c r="C477" s="15" t="str">
        <f>IF($B477="","",IFERROR(INDEX(Jobs!$B$2:$B$501,MATCH($B477,Jobs!$A$2:$A$501,0)),""))</f>
        <v/>
      </c>
      <c r="D477" s="17"/>
      <c r="E477" s="18"/>
      <c r="F477" s="16"/>
      <c r="G477" s="16"/>
      <c r="H477" s="19" t="str">
        <f>IF($B477="","",IFERROR(INDEX(Jobs!$I$2:$I$501,MATCH($B477,Jobs!$A$2:$A$501,0)),""))</f>
        <v/>
      </c>
      <c r="I477" s="19" t="str">
        <f>IF($B477="","",IFERROR(INDEX(Jobs!$K$2:$K$501,MATCH($B477,Jobs!$A$2:$A$501,0)),""))</f>
        <v/>
      </c>
      <c r="J477" s="16"/>
    </row>
    <row r="478" spans="1:10" x14ac:dyDescent="0.3">
      <c r="A478" s="15" t="str">
        <f t="shared" si="7"/>
        <v/>
      </c>
      <c r="B478" s="16"/>
      <c r="C478" s="15" t="str">
        <f>IF($B478="","",IFERROR(INDEX(Jobs!$B$2:$B$501,MATCH($B478,Jobs!$A$2:$A$501,0)),""))</f>
        <v/>
      </c>
      <c r="D478" s="17"/>
      <c r="E478" s="18"/>
      <c r="F478" s="16"/>
      <c r="G478" s="16"/>
      <c r="H478" s="19" t="str">
        <f>IF($B478="","",IFERROR(INDEX(Jobs!$I$2:$I$501,MATCH($B478,Jobs!$A$2:$A$501,0)),""))</f>
        <v/>
      </c>
      <c r="I478" s="19" t="str">
        <f>IF($B478="","",IFERROR(INDEX(Jobs!$K$2:$K$501,MATCH($B478,Jobs!$A$2:$A$501,0)),""))</f>
        <v/>
      </c>
      <c r="J478" s="16"/>
    </row>
    <row r="479" spans="1:10" x14ac:dyDescent="0.3">
      <c r="A479" s="15" t="str">
        <f t="shared" si="7"/>
        <v/>
      </c>
      <c r="B479" s="16"/>
      <c r="C479" s="15" t="str">
        <f>IF($B479="","",IFERROR(INDEX(Jobs!$B$2:$B$501,MATCH($B479,Jobs!$A$2:$A$501,0)),""))</f>
        <v/>
      </c>
      <c r="D479" s="17"/>
      <c r="E479" s="18"/>
      <c r="F479" s="16"/>
      <c r="G479" s="16"/>
      <c r="H479" s="19" t="str">
        <f>IF($B479="","",IFERROR(INDEX(Jobs!$I$2:$I$501,MATCH($B479,Jobs!$A$2:$A$501,0)),""))</f>
        <v/>
      </c>
      <c r="I479" s="19" t="str">
        <f>IF($B479="","",IFERROR(INDEX(Jobs!$K$2:$K$501,MATCH($B479,Jobs!$A$2:$A$501,0)),""))</f>
        <v/>
      </c>
      <c r="J479" s="16"/>
    </row>
    <row r="480" spans="1:10" x14ac:dyDescent="0.3">
      <c r="A480" s="15" t="str">
        <f t="shared" si="7"/>
        <v/>
      </c>
      <c r="B480" s="16"/>
      <c r="C480" s="15" t="str">
        <f>IF($B480="","",IFERROR(INDEX(Jobs!$B$2:$B$501,MATCH($B480,Jobs!$A$2:$A$501,0)),""))</f>
        <v/>
      </c>
      <c r="D480" s="17"/>
      <c r="E480" s="18"/>
      <c r="F480" s="16"/>
      <c r="G480" s="16"/>
      <c r="H480" s="19" t="str">
        <f>IF($B480="","",IFERROR(INDEX(Jobs!$I$2:$I$501,MATCH($B480,Jobs!$A$2:$A$501,0)),""))</f>
        <v/>
      </c>
      <c r="I480" s="19" t="str">
        <f>IF($B480="","",IFERROR(INDEX(Jobs!$K$2:$K$501,MATCH($B480,Jobs!$A$2:$A$501,0)),""))</f>
        <v/>
      </c>
      <c r="J480" s="16"/>
    </row>
    <row r="481" spans="1:10" x14ac:dyDescent="0.3">
      <c r="A481" s="15" t="str">
        <f t="shared" si="7"/>
        <v/>
      </c>
      <c r="B481" s="16"/>
      <c r="C481" s="15" t="str">
        <f>IF($B481="","",IFERROR(INDEX(Jobs!$B$2:$B$501,MATCH($B481,Jobs!$A$2:$A$501,0)),""))</f>
        <v/>
      </c>
      <c r="D481" s="17"/>
      <c r="E481" s="18"/>
      <c r="F481" s="16"/>
      <c r="G481" s="16"/>
      <c r="H481" s="19" t="str">
        <f>IF($B481="","",IFERROR(INDEX(Jobs!$I$2:$I$501,MATCH($B481,Jobs!$A$2:$A$501,0)),""))</f>
        <v/>
      </c>
      <c r="I481" s="19" t="str">
        <f>IF($B481="","",IFERROR(INDEX(Jobs!$K$2:$K$501,MATCH($B481,Jobs!$A$2:$A$501,0)),""))</f>
        <v/>
      </c>
      <c r="J481" s="16"/>
    </row>
    <row r="482" spans="1:10" x14ac:dyDescent="0.3">
      <c r="A482" s="15" t="str">
        <f t="shared" si="7"/>
        <v/>
      </c>
      <c r="B482" s="16"/>
      <c r="C482" s="15" t="str">
        <f>IF($B482="","",IFERROR(INDEX(Jobs!$B$2:$B$501,MATCH($B482,Jobs!$A$2:$A$501,0)),""))</f>
        <v/>
      </c>
      <c r="D482" s="17"/>
      <c r="E482" s="18"/>
      <c r="F482" s="16"/>
      <c r="G482" s="16"/>
      <c r="H482" s="19" t="str">
        <f>IF($B482="","",IFERROR(INDEX(Jobs!$I$2:$I$501,MATCH($B482,Jobs!$A$2:$A$501,0)),""))</f>
        <v/>
      </c>
      <c r="I482" s="19" t="str">
        <f>IF($B482="","",IFERROR(INDEX(Jobs!$K$2:$K$501,MATCH($B482,Jobs!$A$2:$A$501,0)),""))</f>
        <v/>
      </c>
      <c r="J482" s="16"/>
    </row>
    <row r="483" spans="1:10" x14ac:dyDescent="0.3">
      <c r="A483" s="15" t="str">
        <f t="shared" si="7"/>
        <v/>
      </c>
      <c r="B483" s="16"/>
      <c r="C483" s="15" t="str">
        <f>IF($B483="","",IFERROR(INDEX(Jobs!$B$2:$B$501,MATCH($B483,Jobs!$A$2:$A$501,0)),""))</f>
        <v/>
      </c>
      <c r="D483" s="17"/>
      <c r="E483" s="18"/>
      <c r="F483" s="16"/>
      <c r="G483" s="16"/>
      <c r="H483" s="19" t="str">
        <f>IF($B483="","",IFERROR(INDEX(Jobs!$I$2:$I$501,MATCH($B483,Jobs!$A$2:$A$501,0)),""))</f>
        <v/>
      </c>
      <c r="I483" s="19" t="str">
        <f>IF($B483="","",IFERROR(INDEX(Jobs!$K$2:$K$501,MATCH($B483,Jobs!$A$2:$A$501,0)),""))</f>
        <v/>
      </c>
      <c r="J483" s="16"/>
    </row>
    <row r="484" spans="1:10" x14ac:dyDescent="0.3">
      <c r="A484" s="15" t="str">
        <f t="shared" si="7"/>
        <v/>
      </c>
      <c r="B484" s="16"/>
      <c r="C484" s="15" t="str">
        <f>IF($B484="","",IFERROR(INDEX(Jobs!$B$2:$B$501,MATCH($B484,Jobs!$A$2:$A$501,0)),""))</f>
        <v/>
      </c>
      <c r="D484" s="17"/>
      <c r="E484" s="18"/>
      <c r="F484" s="16"/>
      <c r="G484" s="16"/>
      <c r="H484" s="19" t="str">
        <f>IF($B484="","",IFERROR(INDEX(Jobs!$I$2:$I$501,MATCH($B484,Jobs!$A$2:$A$501,0)),""))</f>
        <v/>
      </c>
      <c r="I484" s="19" t="str">
        <f>IF($B484="","",IFERROR(INDEX(Jobs!$K$2:$K$501,MATCH($B484,Jobs!$A$2:$A$501,0)),""))</f>
        <v/>
      </c>
      <c r="J484" s="16"/>
    </row>
    <row r="485" spans="1:10" x14ac:dyDescent="0.3">
      <c r="A485" s="15" t="str">
        <f t="shared" si="7"/>
        <v/>
      </c>
      <c r="B485" s="16"/>
      <c r="C485" s="15" t="str">
        <f>IF($B485="","",IFERROR(INDEX(Jobs!$B$2:$B$501,MATCH($B485,Jobs!$A$2:$A$501,0)),""))</f>
        <v/>
      </c>
      <c r="D485" s="17"/>
      <c r="E485" s="18"/>
      <c r="F485" s="16"/>
      <c r="G485" s="16"/>
      <c r="H485" s="19" t="str">
        <f>IF($B485="","",IFERROR(INDEX(Jobs!$I$2:$I$501,MATCH($B485,Jobs!$A$2:$A$501,0)),""))</f>
        <v/>
      </c>
      <c r="I485" s="19" t="str">
        <f>IF($B485="","",IFERROR(INDEX(Jobs!$K$2:$K$501,MATCH($B485,Jobs!$A$2:$A$501,0)),""))</f>
        <v/>
      </c>
      <c r="J485" s="16"/>
    </row>
    <row r="486" spans="1:10" x14ac:dyDescent="0.3">
      <c r="A486" s="15" t="str">
        <f t="shared" si="7"/>
        <v/>
      </c>
      <c r="B486" s="16"/>
      <c r="C486" s="15" t="str">
        <f>IF($B486="","",IFERROR(INDEX(Jobs!$B$2:$B$501,MATCH($B486,Jobs!$A$2:$A$501,0)),""))</f>
        <v/>
      </c>
      <c r="D486" s="17"/>
      <c r="E486" s="18"/>
      <c r="F486" s="16"/>
      <c r="G486" s="16"/>
      <c r="H486" s="19" t="str">
        <f>IF($B486="","",IFERROR(INDEX(Jobs!$I$2:$I$501,MATCH($B486,Jobs!$A$2:$A$501,0)),""))</f>
        <v/>
      </c>
      <c r="I486" s="19" t="str">
        <f>IF($B486="","",IFERROR(INDEX(Jobs!$K$2:$K$501,MATCH($B486,Jobs!$A$2:$A$501,0)),""))</f>
        <v/>
      </c>
      <c r="J486" s="16"/>
    </row>
    <row r="487" spans="1:10" x14ac:dyDescent="0.3">
      <c r="A487" s="15" t="str">
        <f t="shared" si="7"/>
        <v/>
      </c>
      <c r="B487" s="16"/>
      <c r="C487" s="15" t="str">
        <f>IF($B487="","",IFERROR(INDEX(Jobs!$B$2:$B$501,MATCH($B487,Jobs!$A$2:$A$501,0)),""))</f>
        <v/>
      </c>
      <c r="D487" s="17"/>
      <c r="E487" s="18"/>
      <c r="F487" s="16"/>
      <c r="G487" s="16"/>
      <c r="H487" s="19" t="str">
        <f>IF($B487="","",IFERROR(INDEX(Jobs!$I$2:$I$501,MATCH($B487,Jobs!$A$2:$A$501,0)),""))</f>
        <v/>
      </c>
      <c r="I487" s="19" t="str">
        <f>IF($B487="","",IFERROR(INDEX(Jobs!$K$2:$K$501,MATCH($B487,Jobs!$A$2:$A$501,0)),""))</f>
        <v/>
      </c>
      <c r="J487" s="16"/>
    </row>
    <row r="488" spans="1:10" x14ac:dyDescent="0.3">
      <c r="A488" s="15" t="str">
        <f t="shared" si="7"/>
        <v/>
      </c>
      <c r="B488" s="16"/>
      <c r="C488" s="15" t="str">
        <f>IF($B488="","",IFERROR(INDEX(Jobs!$B$2:$B$501,MATCH($B488,Jobs!$A$2:$A$501,0)),""))</f>
        <v/>
      </c>
      <c r="D488" s="17"/>
      <c r="E488" s="18"/>
      <c r="F488" s="16"/>
      <c r="G488" s="16"/>
      <c r="H488" s="19" t="str">
        <f>IF($B488="","",IFERROR(INDEX(Jobs!$I$2:$I$501,MATCH($B488,Jobs!$A$2:$A$501,0)),""))</f>
        <v/>
      </c>
      <c r="I488" s="19" t="str">
        <f>IF($B488="","",IFERROR(INDEX(Jobs!$K$2:$K$501,MATCH($B488,Jobs!$A$2:$A$501,0)),""))</f>
        <v/>
      </c>
      <c r="J488" s="16"/>
    </row>
    <row r="489" spans="1:10" x14ac:dyDescent="0.3">
      <c r="A489" s="15" t="str">
        <f t="shared" si="7"/>
        <v/>
      </c>
      <c r="B489" s="16"/>
      <c r="C489" s="15" t="str">
        <f>IF($B489="","",IFERROR(INDEX(Jobs!$B$2:$B$501,MATCH($B489,Jobs!$A$2:$A$501,0)),""))</f>
        <v/>
      </c>
      <c r="D489" s="17"/>
      <c r="E489" s="18"/>
      <c r="F489" s="16"/>
      <c r="G489" s="16"/>
      <c r="H489" s="19" t="str">
        <f>IF($B489="","",IFERROR(INDEX(Jobs!$I$2:$I$501,MATCH($B489,Jobs!$A$2:$A$501,0)),""))</f>
        <v/>
      </c>
      <c r="I489" s="19" t="str">
        <f>IF($B489="","",IFERROR(INDEX(Jobs!$K$2:$K$501,MATCH($B489,Jobs!$A$2:$A$501,0)),""))</f>
        <v/>
      </c>
      <c r="J489" s="16"/>
    </row>
    <row r="490" spans="1:10" x14ac:dyDescent="0.3">
      <c r="A490" s="15" t="str">
        <f t="shared" si="7"/>
        <v/>
      </c>
      <c r="B490" s="16"/>
      <c r="C490" s="15" t="str">
        <f>IF($B490="","",IFERROR(INDEX(Jobs!$B$2:$B$501,MATCH($B490,Jobs!$A$2:$A$501,0)),""))</f>
        <v/>
      </c>
      <c r="D490" s="17"/>
      <c r="E490" s="18"/>
      <c r="F490" s="16"/>
      <c r="G490" s="16"/>
      <c r="H490" s="19" t="str">
        <f>IF($B490="","",IFERROR(INDEX(Jobs!$I$2:$I$501,MATCH($B490,Jobs!$A$2:$A$501,0)),""))</f>
        <v/>
      </c>
      <c r="I490" s="19" t="str">
        <f>IF($B490="","",IFERROR(INDEX(Jobs!$K$2:$K$501,MATCH($B490,Jobs!$A$2:$A$501,0)),""))</f>
        <v/>
      </c>
      <c r="J490" s="16"/>
    </row>
    <row r="491" spans="1:10" x14ac:dyDescent="0.3">
      <c r="A491" s="15" t="str">
        <f t="shared" si="7"/>
        <v/>
      </c>
      <c r="B491" s="16"/>
      <c r="C491" s="15" t="str">
        <f>IF($B491="","",IFERROR(INDEX(Jobs!$B$2:$B$501,MATCH($B491,Jobs!$A$2:$A$501,0)),""))</f>
        <v/>
      </c>
      <c r="D491" s="17"/>
      <c r="E491" s="18"/>
      <c r="F491" s="16"/>
      <c r="G491" s="16"/>
      <c r="H491" s="19" t="str">
        <f>IF($B491="","",IFERROR(INDEX(Jobs!$I$2:$I$501,MATCH($B491,Jobs!$A$2:$A$501,0)),""))</f>
        <v/>
      </c>
      <c r="I491" s="19" t="str">
        <f>IF($B491="","",IFERROR(INDEX(Jobs!$K$2:$K$501,MATCH($B491,Jobs!$A$2:$A$501,0)),""))</f>
        <v/>
      </c>
      <c r="J491" s="16"/>
    </row>
    <row r="492" spans="1:10" x14ac:dyDescent="0.3">
      <c r="A492" s="15" t="str">
        <f t="shared" si="7"/>
        <v/>
      </c>
      <c r="B492" s="16"/>
      <c r="C492" s="15" t="str">
        <f>IF($B492="","",IFERROR(INDEX(Jobs!$B$2:$B$501,MATCH($B492,Jobs!$A$2:$A$501,0)),""))</f>
        <v/>
      </c>
      <c r="D492" s="17"/>
      <c r="E492" s="18"/>
      <c r="F492" s="16"/>
      <c r="G492" s="16"/>
      <c r="H492" s="19" t="str">
        <f>IF($B492="","",IFERROR(INDEX(Jobs!$I$2:$I$501,MATCH($B492,Jobs!$A$2:$A$501,0)),""))</f>
        <v/>
      </c>
      <c r="I492" s="19" t="str">
        <f>IF($B492="","",IFERROR(INDEX(Jobs!$K$2:$K$501,MATCH($B492,Jobs!$A$2:$A$501,0)),""))</f>
        <v/>
      </c>
      <c r="J492" s="16"/>
    </row>
    <row r="493" spans="1:10" x14ac:dyDescent="0.3">
      <c r="A493" s="15" t="str">
        <f t="shared" si="7"/>
        <v/>
      </c>
      <c r="B493" s="16"/>
      <c r="C493" s="15" t="str">
        <f>IF($B493="","",IFERROR(INDEX(Jobs!$B$2:$B$501,MATCH($B493,Jobs!$A$2:$A$501,0)),""))</f>
        <v/>
      </c>
      <c r="D493" s="17"/>
      <c r="E493" s="18"/>
      <c r="F493" s="16"/>
      <c r="G493" s="16"/>
      <c r="H493" s="19" t="str">
        <f>IF($B493="","",IFERROR(INDEX(Jobs!$I$2:$I$501,MATCH($B493,Jobs!$A$2:$A$501,0)),""))</f>
        <v/>
      </c>
      <c r="I493" s="19" t="str">
        <f>IF($B493="","",IFERROR(INDEX(Jobs!$K$2:$K$501,MATCH($B493,Jobs!$A$2:$A$501,0)),""))</f>
        <v/>
      </c>
      <c r="J493" s="16"/>
    </row>
    <row r="494" spans="1:10" x14ac:dyDescent="0.3">
      <c r="A494" s="15" t="str">
        <f t="shared" si="7"/>
        <v/>
      </c>
      <c r="B494" s="16"/>
      <c r="C494" s="15" t="str">
        <f>IF($B494="","",IFERROR(INDEX(Jobs!$B$2:$B$501,MATCH($B494,Jobs!$A$2:$A$501,0)),""))</f>
        <v/>
      </c>
      <c r="D494" s="17"/>
      <c r="E494" s="18"/>
      <c r="F494" s="16"/>
      <c r="G494" s="16"/>
      <c r="H494" s="19" t="str">
        <f>IF($B494="","",IFERROR(INDEX(Jobs!$I$2:$I$501,MATCH($B494,Jobs!$A$2:$A$501,0)),""))</f>
        <v/>
      </c>
      <c r="I494" s="19" t="str">
        <f>IF($B494="","",IFERROR(INDEX(Jobs!$K$2:$K$501,MATCH($B494,Jobs!$A$2:$A$501,0)),""))</f>
        <v/>
      </c>
      <c r="J494" s="16"/>
    </row>
    <row r="495" spans="1:10" x14ac:dyDescent="0.3">
      <c r="A495" s="15" t="str">
        <f t="shared" si="7"/>
        <v/>
      </c>
      <c r="B495" s="16"/>
      <c r="C495" s="15" t="str">
        <f>IF($B495="","",IFERROR(INDEX(Jobs!$B$2:$B$501,MATCH($B495,Jobs!$A$2:$A$501,0)),""))</f>
        <v/>
      </c>
      <c r="D495" s="17"/>
      <c r="E495" s="18"/>
      <c r="F495" s="16"/>
      <c r="G495" s="16"/>
      <c r="H495" s="19" t="str">
        <f>IF($B495="","",IFERROR(INDEX(Jobs!$I$2:$I$501,MATCH($B495,Jobs!$A$2:$A$501,0)),""))</f>
        <v/>
      </c>
      <c r="I495" s="19" t="str">
        <f>IF($B495="","",IFERROR(INDEX(Jobs!$K$2:$K$501,MATCH($B495,Jobs!$A$2:$A$501,0)),""))</f>
        <v/>
      </c>
      <c r="J495" s="16"/>
    </row>
    <row r="496" spans="1:10" x14ac:dyDescent="0.3">
      <c r="A496" s="15" t="str">
        <f t="shared" si="7"/>
        <v/>
      </c>
      <c r="B496" s="16"/>
      <c r="C496" s="15" t="str">
        <f>IF($B496="","",IFERROR(INDEX(Jobs!$B$2:$B$501,MATCH($B496,Jobs!$A$2:$A$501,0)),""))</f>
        <v/>
      </c>
      <c r="D496" s="17"/>
      <c r="E496" s="18"/>
      <c r="F496" s="16"/>
      <c r="G496" s="16"/>
      <c r="H496" s="19" t="str">
        <f>IF($B496="","",IFERROR(INDEX(Jobs!$I$2:$I$501,MATCH($B496,Jobs!$A$2:$A$501,0)),""))</f>
        <v/>
      </c>
      <c r="I496" s="19" t="str">
        <f>IF($B496="","",IFERROR(INDEX(Jobs!$K$2:$K$501,MATCH($B496,Jobs!$A$2:$A$501,0)),""))</f>
        <v/>
      </c>
      <c r="J496" s="16"/>
    </row>
    <row r="497" spans="1:10" x14ac:dyDescent="0.3">
      <c r="A497" s="15" t="str">
        <f t="shared" si="7"/>
        <v/>
      </c>
      <c r="B497" s="16"/>
      <c r="C497" s="15" t="str">
        <f>IF($B497="","",IFERROR(INDEX(Jobs!$B$2:$B$501,MATCH($B497,Jobs!$A$2:$A$501,0)),""))</f>
        <v/>
      </c>
      <c r="D497" s="17"/>
      <c r="E497" s="18"/>
      <c r="F497" s="16"/>
      <c r="G497" s="16"/>
      <c r="H497" s="19" t="str">
        <f>IF($B497="","",IFERROR(INDEX(Jobs!$I$2:$I$501,MATCH($B497,Jobs!$A$2:$A$501,0)),""))</f>
        <v/>
      </c>
      <c r="I497" s="19" t="str">
        <f>IF($B497="","",IFERROR(INDEX(Jobs!$K$2:$K$501,MATCH($B497,Jobs!$A$2:$A$501,0)),""))</f>
        <v/>
      </c>
      <c r="J497" s="16"/>
    </row>
    <row r="498" spans="1:10" x14ac:dyDescent="0.3">
      <c r="A498" s="15" t="str">
        <f t="shared" si="7"/>
        <v/>
      </c>
      <c r="B498" s="16"/>
      <c r="C498" s="15" t="str">
        <f>IF($B498="","",IFERROR(INDEX(Jobs!$B$2:$B$501,MATCH($B498,Jobs!$A$2:$A$501,0)),""))</f>
        <v/>
      </c>
      <c r="D498" s="17"/>
      <c r="E498" s="18"/>
      <c r="F498" s="16"/>
      <c r="G498" s="16"/>
      <c r="H498" s="19" t="str">
        <f>IF($B498="","",IFERROR(INDEX(Jobs!$I$2:$I$501,MATCH($B498,Jobs!$A$2:$A$501,0)),""))</f>
        <v/>
      </c>
      <c r="I498" s="19" t="str">
        <f>IF($B498="","",IFERROR(INDEX(Jobs!$K$2:$K$501,MATCH($B498,Jobs!$A$2:$A$501,0)),""))</f>
        <v/>
      </c>
      <c r="J498" s="16"/>
    </row>
    <row r="499" spans="1:10" x14ac:dyDescent="0.3">
      <c r="A499" s="15" t="str">
        <f t="shared" si="7"/>
        <v/>
      </c>
      <c r="B499" s="16"/>
      <c r="C499" s="15" t="str">
        <f>IF($B499="","",IFERROR(INDEX(Jobs!$B$2:$B$501,MATCH($B499,Jobs!$A$2:$A$501,0)),""))</f>
        <v/>
      </c>
      <c r="D499" s="17"/>
      <c r="E499" s="18"/>
      <c r="F499" s="16"/>
      <c r="G499" s="16"/>
      <c r="H499" s="19" t="str">
        <f>IF($B499="","",IFERROR(INDEX(Jobs!$I$2:$I$501,MATCH($B499,Jobs!$A$2:$A$501,0)),""))</f>
        <v/>
      </c>
      <c r="I499" s="19" t="str">
        <f>IF($B499="","",IFERROR(INDEX(Jobs!$K$2:$K$501,MATCH($B499,Jobs!$A$2:$A$501,0)),""))</f>
        <v/>
      </c>
      <c r="J499" s="16"/>
    </row>
    <row r="500" spans="1:10" x14ac:dyDescent="0.3">
      <c r="A500" s="15" t="str">
        <f t="shared" si="7"/>
        <v/>
      </c>
      <c r="B500" s="16"/>
      <c r="C500" s="15" t="str">
        <f>IF($B500="","",IFERROR(INDEX(Jobs!$B$2:$B$501,MATCH($B500,Jobs!$A$2:$A$501,0)),""))</f>
        <v/>
      </c>
      <c r="D500" s="17"/>
      <c r="E500" s="18"/>
      <c r="F500" s="16"/>
      <c r="G500" s="16"/>
      <c r="H500" s="19" t="str">
        <f>IF($B500="","",IFERROR(INDEX(Jobs!$I$2:$I$501,MATCH($B500,Jobs!$A$2:$A$501,0)),""))</f>
        <v/>
      </c>
      <c r="I500" s="19" t="str">
        <f>IF($B500="","",IFERROR(INDEX(Jobs!$K$2:$K$501,MATCH($B500,Jobs!$A$2:$A$501,0)),""))</f>
        <v/>
      </c>
      <c r="J500" s="16"/>
    </row>
    <row r="501" spans="1:10" x14ac:dyDescent="0.3">
      <c r="A501" s="15" t="str">
        <f t="shared" si="7"/>
        <v/>
      </c>
      <c r="B501" s="16"/>
      <c r="C501" s="15" t="str">
        <f>IF($B501="","",IFERROR(INDEX(Jobs!$B$2:$B$501,MATCH($B501,Jobs!$A$2:$A$501,0)),""))</f>
        <v/>
      </c>
      <c r="D501" s="17"/>
      <c r="E501" s="18"/>
      <c r="F501" s="16"/>
      <c r="G501" s="16"/>
      <c r="H501" s="19" t="str">
        <f>IF($B501="","",IFERROR(INDEX(Jobs!$I$2:$I$501,MATCH($B501,Jobs!$A$2:$A$501,0)),""))</f>
        <v/>
      </c>
      <c r="I501" s="19" t="str">
        <f>IF($B501="","",IFERROR(INDEX(Jobs!$K$2:$K$501,MATCH($B501,Jobs!$A$2:$A$501,0)),""))</f>
        <v/>
      </c>
      <c r="J501" s="16"/>
    </row>
  </sheetData>
  <sheetProtection sheet="1" formatCells="0" formatColumns="0" formatRows="0" selectLockedCells="1" sort="0" autoFilter="0"/>
  <autoFilter ref="A1:J501" xr:uid="{00000000-0009-0000-0000-000002000000}"/>
  <dataValidations count="3">
    <dataValidation type="list" allowBlank="1" showErrorMessage="1" errorTitle="Invalid entry" error="Choose a value from the dropdown list." promptTitle="Dropdown" prompt="Select from the list." sqref="F2:F501" xr:uid="{00000000-0002-0000-0200-000001000000}">
      <formula1>PaymentMethodList</formula1>
    </dataValidation>
    <dataValidation type="list" allowBlank="1" showErrorMessage="1" errorTitle="Invalid entry" error="Choose a value from the dropdown list." promptTitle="Dropdown" prompt="Select from the list." sqref="G2:G501" xr:uid="{00000000-0002-0000-0200-000002000000}">
      <formula1>PaymentStatusList</formula1>
    </dataValidation>
    <dataValidation type="list" allowBlank="1" showInputMessage="1" showErrorMessage="1" sqref="B2:B501" xr:uid="{A6D7DCF1-3061-401F-8DF8-1964BFBB7804}">
      <formula1>ValidJobIDs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F501"/>
  <sheetViews>
    <sheetView showGridLines="0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10.77734375" style="14" bestFit="1" customWidth="1"/>
    <col min="2" max="2" width="26.44140625" style="14" customWidth="1"/>
    <col min="3" max="3" width="42" style="14" customWidth="1"/>
    <col min="4" max="4" width="15.21875" style="14" customWidth="1"/>
    <col min="5" max="5" width="19.5546875" style="14" customWidth="1"/>
    <col min="6" max="6" width="45.5546875" style="14" customWidth="1"/>
    <col min="7" max="16384" width="8.88671875" style="14"/>
  </cols>
  <sheetData>
    <row r="1" spans="1:6" x14ac:dyDescent="0.3">
      <c r="A1" s="13" t="s">
        <v>21</v>
      </c>
      <c r="B1" s="13" t="s">
        <v>22</v>
      </c>
      <c r="C1" s="13" t="s">
        <v>43</v>
      </c>
      <c r="D1" s="13" t="s">
        <v>44</v>
      </c>
      <c r="E1" s="13" t="s">
        <v>27</v>
      </c>
      <c r="F1" s="13" t="s">
        <v>36</v>
      </c>
    </row>
    <row r="2" spans="1:6" x14ac:dyDescent="0.3">
      <c r="A2" s="16" t="s">
        <v>88</v>
      </c>
      <c r="B2" s="15" t="str">
        <f>IF($A2="","",IFERROR(INDEX(Jobs!$B$2:$B$501,MATCH($A2,Jobs!$A$2:$A$501,0)),""))</f>
        <v>Isna &amp; Edrika</v>
      </c>
      <c r="C2" s="16" t="s">
        <v>80</v>
      </c>
      <c r="D2" s="17">
        <v>46194</v>
      </c>
      <c r="E2" s="16" t="s">
        <v>90</v>
      </c>
      <c r="F2" s="16"/>
    </row>
    <row r="3" spans="1:6" x14ac:dyDescent="0.3">
      <c r="A3" s="16"/>
      <c r="B3" s="15" t="str">
        <f>IF($A3="","",IFERROR(INDEX(Jobs!$B$2:$B$501,MATCH($A3,Jobs!$A$2:$A$501,0)),""))</f>
        <v/>
      </c>
      <c r="C3" s="16"/>
      <c r="D3" s="17"/>
      <c r="E3" s="16"/>
      <c r="F3" s="16"/>
    </row>
    <row r="4" spans="1:6" x14ac:dyDescent="0.3">
      <c r="A4" s="16"/>
      <c r="B4" s="15" t="str">
        <f>IF($A4="","",IFERROR(INDEX(Jobs!$B$2:$B$501,MATCH($A4,Jobs!$A$2:$A$501,0)),""))</f>
        <v/>
      </c>
      <c r="C4" s="16"/>
      <c r="D4" s="17"/>
      <c r="E4" s="16"/>
      <c r="F4" s="16"/>
    </row>
    <row r="5" spans="1:6" x14ac:dyDescent="0.3">
      <c r="A5" s="16"/>
      <c r="B5" s="15" t="str">
        <f>IF($A5="","",IFERROR(INDEX(Jobs!$B$2:$B$501,MATCH($A5,Jobs!$A$2:$A$501,0)),""))</f>
        <v/>
      </c>
      <c r="C5" s="16"/>
      <c r="D5" s="17"/>
      <c r="E5" s="16"/>
      <c r="F5" s="16"/>
    </row>
    <row r="6" spans="1:6" x14ac:dyDescent="0.3">
      <c r="A6" s="16"/>
      <c r="B6" s="15" t="str">
        <f>IF($A6="","",IFERROR(INDEX(Jobs!$B$2:$B$501,MATCH($A6,Jobs!$A$2:$A$501,0)),""))</f>
        <v/>
      </c>
      <c r="C6" s="16"/>
      <c r="D6" s="17"/>
      <c r="E6" s="16"/>
      <c r="F6" s="16"/>
    </row>
    <row r="7" spans="1:6" x14ac:dyDescent="0.3">
      <c r="A7" s="16"/>
      <c r="B7" s="15" t="str">
        <f>IF($A7="","",IFERROR(INDEX(Jobs!$B$2:$B$501,MATCH($A7,Jobs!$A$2:$A$501,0)),""))</f>
        <v/>
      </c>
      <c r="C7" s="16"/>
      <c r="D7" s="17"/>
      <c r="E7" s="16"/>
      <c r="F7" s="16"/>
    </row>
    <row r="8" spans="1:6" x14ac:dyDescent="0.3">
      <c r="A8" s="16"/>
      <c r="B8" s="15" t="str">
        <f>IF($A8="","",IFERROR(INDEX(Jobs!$B$2:$B$501,MATCH($A8,Jobs!$A$2:$A$501,0)),""))</f>
        <v/>
      </c>
      <c r="C8" s="16"/>
      <c r="D8" s="17"/>
      <c r="E8" s="16"/>
      <c r="F8" s="16"/>
    </row>
    <row r="9" spans="1:6" x14ac:dyDescent="0.3">
      <c r="A9" s="16"/>
      <c r="B9" s="15" t="str">
        <f>IF($A9="","",IFERROR(INDEX(Jobs!$B$2:$B$501,MATCH($A9,Jobs!$A$2:$A$501,0)),""))</f>
        <v/>
      </c>
      <c r="C9" s="16"/>
      <c r="D9" s="17"/>
      <c r="E9" s="16"/>
      <c r="F9" s="16"/>
    </row>
    <row r="10" spans="1:6" x14ac:dyDescent="0.3">
      <c r="A10" s="16"/>
      <c r="B10" s="15" t="str">
        <f>IF($A10="","",IFERROR(INDEX(Jobs!$B$2:$B$501,MATCH($A10,Jobs!$A$2:$A$501,0)),""))</f>
        <v/>
      </c>
      <c r="C10" s="16"/>
      <c r="D10" s="17"/>
      <c r="E10" s="16"/>
      <c r="F10" s="16"/>
    </row>
    <row r="11" spans="1:6" x14ac:dyDescent="0.3">
      <c r="A11" s="16"/>
      <c r="B11" s="15" t="str">
        <f>IF($A11="","",IFERROR(INDEX(Jobs!$B$2:$B$501,MATCH($A11,Jobs!$A$2:$A$501,0)),""))</f>
        <v/>
      </c>
      <c r="C11" s="16"/>
      <c r="D11" s="17"/>
      <c r="E11" s="16"/>
      <c r="F11" s="16"/>
    </row>
    <row r="12" spans="1:6" x14ac:dyDescent="0.3">
      <c r="A12" s="16"/>
      <c r="B12" s="15" t="str">
        <f>IF($A12="","",IFERROR(INDEX(Jobs!$B$2:$B$501,MATCH($A12,Jobs!$A$2:$A$501,0)),""))</f>
        <v/>
      </c>
      <c r="C12" s="16"/>
      <c r="D12" s="17"/>
      <c r="E12" s="16"/>
      <c r="F12" s="16"/>
    </row>
    <row r="13" spans="1:6" x14ac:dyDescent="0.3">
      <c r="A13" s="16"/>
      <c r="B13" s="15" t="str">
        <f>IF($A13="","",IFERROR(INDEX(Jobs!$B$2:$B$501,MATCH($A13,Jobs!$A$2:$A$501,0)),""))</f>
        <v/>
      </c>
      <c r="C13" s="16"/>
      <c r="D13" s="17"/>
      <c r="E13" s="16"/>
      <c r="F13" s="16"/>
    </row>
    <row r="14" spans="1:6" x14ac:dyDescent="0.3">
      <c r="A14" s="16"/>
      <c r="B14" s="15" t="str">
        <f>IF($A14="","",IFERROR(INDEX(Jobs!$B$2:$B$501,MATCH($A14,Jobs!$A$2:$A$501,0)),""))</f>
        <v/>
      </c>
      <c r="C14" s="16"/>
      <c r="D14" s="17"/>
      <c r="E14" s="16"/>
      <c r="F14" s="16"/>
    </row>
    <row r="15" spans="1:6" x14ac:dyDescent="0.3">
      <c r="A15" s="16"/>
      <c r="B15" s="15" t="str">
        <f>IF($A15="","",IFERROR(INDEX(Jobs!$B$2:$B$501,MATCH($A15,Jobs!$A$2:$A$501,0)),""))</f>
        <v/>
      </c>
      <c r="C15" s="16"/>
      <c r="D15" s="17"/>
      <c r="E15" s="16"/>
      <c r="F15" s="16"/>
    </row>
    <row r="16" spans="1:6" x14ac:dyDescent="0.3">
      <c r="A16" s="16"/>
      <c r="B16" s="15" t="str">
        <f>IF($A16="","",IFERROR(INDEX(Jobs!$B$2:$B$501,MATCH($A16,Jobs!$A$2:$A$501,0)),""))</f>
        <v/>
      </c>
      <c r="C16" s="16"/>
      <c r="D16" s="17"/>
      <c r="E16" s="16"/>
      <c r="F16" s="16"/>
    </row>
    <row r="17" spans="1:6" x14ac:dyDescent="0.3">
      <c r="A17" s="16"/>
      <c r="B17" s="15" t="str">
        <f>IF($A17="","",IFERROR(INDEX(Jobs!$B$2:$B$501,MATCH($A17,Jobs!$A$2:$A$501,0)),""))</f>
        <v/>
      </c>
      <c r="C17" s="16"/>
      <c r="D17" s="17"/>
      <c r="E17" s="16"/>
      <c r="F17" s="16"/>
    </row>
    <row r="18" spans="1:6" x14ac:dyDescent="0.3">
      <c r="A18" s="16"/>
      <c r="B18" s="15" t="str">
        <f>IF($A18="","",IFERROR(INDEX(Jobs!$B$2:$B$501,MATCH($A18,Jobs!$A$2:$A$501,0)),""))</f>
        <v/>
      </c>
      <c r="C18" s="16"/>
      <c r="D18" s="17"/>
      <c r="E18" s="16"/>
      <c r="F18" s="16"/>
    </row>
    <row r="19" spans="1:6" x14ac:dyDescent="0.3">
      <c r="A19" s="16"/>
      <c r="B19" s="15" t="str">
        <f>IF($A19="","",IFERROR(INDEX(Jobs!$B$2:$B$501,MATCH($A19,Jobs!$A$2:$A$501,0)),""))</f>
        <v/>
      </c>
      <c r="C19" s="16"/>
      <c r="D19" s="17"/>
      <c r="E19" s="16"/>
      <c r="F19" s="16"/>
    </row>
    <row r="20" spans="1:6" x14ac:dyDescent="0.3">
      <c r="A20" s="16"/>
      <c r="B20" s="15" t="str">
        <f>IF($A20="","",IFERROR(INDEX(Jobs!$B$2:$B$501,MATCH($A20,Jobs!$A$2:$A$501,0)),""))</f>
        <v/>
      </c>
      <c r="C20" s="16"/>
      <c r="D20" s="17"/>
      <c r="E20" s="16"/>
      <c r="F20" s="16"/>
    </row>
    <row r="21" spans="1:6" x14ac:dyDescent="0.3">
      <c r="A21" s="16"/>
      <c r="B21" s="15" t="str">
        <f>IF($A21="","",IFERROR(INDEX(Jobs!$B$2:$B$501,MATCH($A21,Jobs!$A$2:$A$501,0)),""))</f>
        <v/>
      </c>
      <c r="C21" s="16"/>
      <c r="D21" s="17"/>
      <c r="E21" s="16"/>
      <c r="F21" s="16"/>
    </row>
    <row r="22" spans="1:6" x14ac:dyDescent="0.3">
      <c r="A22" s="16"/>
      <c r="B22" s="15" t="str">
        <f>IF($A22="","",IFERROR(INDEX(Jobs!$B$2:$B$501,MATCH($A22,Jobs!$A$2:$A$501,0)),""))</f>
        <v/>
      </c>
      <c r="C22" s="16"/>
      <c r="D22" s="17"/>
      <c r="E22" s="16"/>
      <c r="F22" s="16"/>
    </row>
    <row r="23" spans="1:6" x14ac:dyDescent="0.3">
      <c r="A23" s="16"/>
      <c r="B23" s="15" t="str">
        <f>IF($A23="","",IFERROR(INDEX(Jobs!$B$2:$B$501,MATCH($A23,Jobs!$A$2:$A$501,0)),""))</f>
        <v/>
      </c>
      <c r="C23" s="16"/>
      <c r="D23" s="17"/>
      <c r="E23" s="16"/>
      <c r="F23" s="16"/>
    </row>
    <row r="24" spans="1:6" x14ac:dyDescent="0.3">
      <c r="A24" s="16"/>
      <c r="B24" s="15" t="str">
        <f>IF($A24="","",IFERROR(INDEX(Jobs!$B$2:$B$501,MATCH($A24,Jobs!$A$2:$A$501,0)),""))</f>
        <v/>
      </c>
      <c r="C24" s="16"/>
      <c r="D24" s="17"/>
      <c r="E24" s="16"/>
      <c r="F24" s="16"/>
    </row>
    <row r="25" spans="1:6" x14ac:dyDescent="0.3">
      <c r="A25" s="16"/>
      <c r="B25" s="15" t="str">
        <f>IF($A25="","",IFERROR(INDEX(Jobs!$B$2:$B$501,MATCH($A25,Jobs!$A$2:$A$501,0)),""))</f>
        <v/>
      </c>
      <c r="C25" s="16"/>
      <c r="D25" s="17"/>
      <c r="E25" s="16"/>
      <c r="F25" s="16"/>
    </row>
    <row r="26" spans="1:6" x14ac:dyDescent="0.3">
      <c r="A26" s="16"/>
      <c r="B26" s="15" t="str">
        <f>IF($A26="","",IFERROR(INDEX(Jobs!$B$2:$B$501,MATCH($A26,Jobs!$A$2:$A$501,0)),""))</f>
        <v/>
      </c>
      <c r="C26" s="16"/>
      <c r="D26" s="17"/>
      <c r="E26" s="16"/>
      <c r="F26" s="16"/>
    </row>
    <row r="27" spans="1:6" x14ac:dyDescent="0.3">
      <c r="A27" s="16"/>
      <c r="B27" s="15" t="str">
        <f>IF($A27="","",IFERROR(INDEX(Jobs!$B$2:$B$501,MATCH($A27,Jobs!$A$2:$A$501,0)),""))</f>
        <v/>
      </c>
      <c r="C27" s="16"/>
      <c r="D27" s="17"/>
      <c r="E27" s="16"/>
      <c r="F27" s="16"/>
    </row>
    <row r="28" spans="1:6" x14ac:dyDescent="0.3">
      <c r="A28" s="16"/>
      <c r="B28" s="15" t="str">
        <f>IF($A28="","",IFERROR(INDEX(Jobs!$B$2:$B$501,MATCH($A28,Jobs!$A$2:$A$501,0)),""))</f>
        <v/>
      </c>
      <c r="C28" s="16"/>
      <c r="D28" s="17"/>
      <c r="E28" s="16"/>
      <c r="F28" s="16"/>
    </row>
    <row r="29" spans="1:6" x14ac:dyDescent="0.3">
      <c r="A29" s="16"/>
      <c r="B29" s="15" t="str">
        <f>IF($A29="","",IFERROR(INDEX(Jobs!$B$2:$B$501,MATCH($A29,Jobs!$A$2:$A$501,0)),""))</f>
        <v/>
      </c>
      <c r="C29" s="16"/>
      <c r="D29" s="17"/>
      <c r="E29" s="16"/>
      <c r="F29" s="16"/>
    </row>
    <row r="30" spans="1:6" x14ac:dyDescent="0.3">
      <c r="A30" s="16"/>
      <c r="B30" s="15" t="str">
        <f>IF($A30="","",IFERROR(INDEX(Jobs!$B$2:$B$501,MATCH($A30,Jobs!$A$2:$A$501,0)),""))</f>
        <v/>
      </c>
      <c r="C30" s="16"/>
      <c r="D30" s="17"/>
      <c r="E30" s="16"/>
      <c r="F30" s="16"/>
    </row>
    <row r="31" spans="1:6" x14ac:dyDescent="0.3">
      <c r="A31" s="16"/>
      <c r="B31" s="15" t="str">
        <f>IF($A31="","",IFERROR(INDEX(Jobs!$B$2:$B$501,MATCH($A31,Jobs!$A$2:$A$501,0)),""))</f>
        <v/>
      </c>
      <c r="C31" s="16"/>
      <c r="D31" s="17"/>
      <c r="E31" s="16"/>
      <c r="F31" s="16"/>
    </row>
    <row r="32" spans="1:6" x14ac:dyDescent="0.3">
      <c r="A32" s="16"/>
      <c r="B32" s="15" t="str">
        <f>IF($A32="","",IFERROR(INDEX(Jobs!$B$2:$B$501,MATCH($A32,Jobs!$A$2:$A$501,0)),""))</f>
        <v/>
      </c>
      <c r="C32" s="16"/>
      <c r="D32" s="17"/>
      <c r="E32" s="16"/>
      <c r="F32" s="16"/>
    </row>
    <row r="33" spans="1:6" x14ac:dyDescent="0.3">
      <c r="A33" s="16"/>
      <c r="B33" s="15" t="str">
        <f>IF($A33="","",IFERROR(INDEX(Jobs!$B$2:$B$501,MATCH($A33,Jobs!$A$2:$A$501,0)),""))</f>
        <v/>
      </c>
      <c r="C33" s="16"/>
      <c r="D33" s="17"/>
      <c r="E33" s="16"/>
      <c r="F33" s="16"/>
    </row>
    <row r="34" spans="1:6" x14ac:dyDescent="0.3">
      <c r="A34" s="16"/>
      <c r="B34" s="15" t="str">
        <f>IF($A34="","",IFERROR(INDEX(Jobs!$B$2:$B$501,MATCH($A34,Jobs!$A$2:$A$501,0)),""))</f>
        <v/>
      </c>
      <c r="C34" s="16"/>
      <c r="D34" s="17"/>
      <c r="E34" s="16"/>
      <c r="F34" s="16"/>
    </row>
    <row r="35" spans="1:6" x14ac:dyDescent="0.3">
      <c r="A35" s="16"/>
      <c r="B35" s="15" t="str">
        <f>IF($A35="","",IFERROR(INDEX(Jobs!$B$2:$B$501,MATCH($A35,Jobs!$A$2:$A$501,0)),""))</f>
        <v/>
      </c>
      <c r="C35" s="16"/>
      <c r="D35" s="17"/>
      <c r="E35" s="16"/>
      <c r="F35" s="16"/>
    </row>
    <row r="36" spans="1:6" x14ac:dyDescent="0.3">
      <c r="A36" s="16"/>
      <c r="B36" s="15" t="str">
        <f>IF($A36="","",IFERROR(INDEX(Jobs!$B$2:$B$501,MATCH($A36,Jobs!$A$2:$A$501,0)),""))</f>
        <v/>
      </c>
      <c r="C36" s="16"/>
      <c r="D36" s="17"/>
      <c r="E36" s="16"/>
      <c r="F36" s="16"/>
    </row>
    <row r="37" spans="1:6" x14ac:dyDescent="0.3">
      <c r="A37" s="16"/>
      <c r="B37" s="15" t="str">
        <f>IF($A37="","",IFERROR(INDEX(Jobs!$B$2:$B$501,MATCH($A37,Jobs!$A$2:$A$501,0)),""))</f>
        <v/>
      </c>
      <c r="C37" s="16"/>
      <c r="D37" s="17"/>
      <c r="E37" s="16"/>
      <c r="F37" s="16"/>
    </row>
    <row r="38" spans="1:6" x14ac:dyDescent="0.3">
      <c r="A38" s="16"/>
      <c r="B38" s="15" t="str">
        <f>IF($A38="","",IFERROR(INDEX(Jobs!$B$2:$B$501,MATCH($A38,Jobs!$A$2:$A$501,0)),""))</f>
        <v/>
      </c>
      <c r="C38" s="16"/>
      <c r="D38" s="17"/>
      <c r="E38" s="16"/>
      <c r="F38" s="16"/>
    </row>
    <row r="39" spans="1:6" x14ac:dyDescent="0.3">
      <c r="A39" s="16"/>
      <c r="B39" s="15" t="str">
        <f>IF($A39="","",IFERROR(INDEX(Jobs!$B$2:$B$501,MATCH($A39,Jobs!$A$2:$A$501,0)),""))</f>
        <v/>
      </c>
      <c r="C39" s="16"/>
      <c r="D39" s="17"/>
      <c r="E39" s="16"/>
      <c r="F39" s="16"/>
    </row>
    <row r="40" spans="1:6" x14ac:dyDescent="0.3">
      <c r="A40" s="16"/>
      <c r="B40" s="15" t="str">
        <f>IF($A40="","",IFERROR(INDEX(Jobs!$B$2:$B$501,MATCH($A40,Jobs!$A$2:$A$501,0)),""))</f>
        <v/>
      </c>
      <c r="C40" s="16"/>
      <c r="D40" s="17"/>
      <c r="E40" s="16"/>
      <c r="F40" s="16"/>
    </row>
    <row r="41" spans="1:6" x14ac:dyDescent="0.3">
      <c r="A41" s="16"/>
      <c r="B41" s="15" t="str">
        <f>IF($A41="","",IFERROR(INDEX(Jobs!$B$2:$B$501,MATCH($A41,Jobs!$A$2:$A$501,0)),""))</f>
        <v/>
      </c>
      <c r="C41" s="16"/>
      <c r="D41" s="17"/>
      <c r="E41" s="16"/>
      <c r="F41" s="16"/>
    </row>
    <row r="42" spans="1:6" x14ac:dyDescent="0.3">
      <c r="A42" s="16"/>
      <c r="B42" s="15" t="str">
        <f>IF($A42="","",IFERROR(INDEX(Jobs!$B$2:$B$501,MATCH($A42,Jobs!$A$2:$A$501,0)),""))</f>
        <v/>
      </c>
      <c r="C42" s="16"/>
      <c r="D42" s="17"/>
      <c r="E42" s="16"/>
      <c r="F42" s="16"/>
    </row>
    <row r="43" spans="1:6" x14ac:dyDescent="0.3">
      <c r="A43" s="16"/>
      <c r="B43" s="15" t="str">
        <f>IF($A43="","",IFERROR(INDEX(Jobs!$B$2:$B$501,MATCH($A43,Jobs!$A$2:$A$501,0)),""))</f>
        <v/>
      </c>
      <c r="C43" s="16"/>
      <c r="D43" s="17"/>
      <c r="E43" s="16"/>
      <c r="F43" s="16"/>
    </row>
    <row r="44" spans="1:6" x14ac:dyDescent="0.3">
      <c r="A44" s="16"/>
      <c r="B44" s="15" t="str">
        <f>IF($A44="","",IFERROR(INDEX(Jobs!$B$2:$B$501,MATCH($A44,Jobs!$A$2:$A$501,0)),""))</f>
        <v/>
      </c>
      <c r="C44" s="16"/>
      <c r="D44" s="17"/>
      <c r="E44" s="16"/>
      <c r="F44" s="16"/>
    </row>
    <row r="45" spans="1:6" x14ac:dyDescent="0.3">
      <c r="A45" s="16"/>
      <c r="B45" s="15" t="str">
        <f>IF($A45="","",IFERROR(INDEX(Jobs!$B$2:$B$501,MATCH($A45,Jobs!$A$2:$A$501,0)),""))</f>
        <v/>
      </c>
      <c r="C45" s="16"/>
      <c r="D45" s="17"/>
      <c r="E45" s="16"/>
      <c r="F45" s="16"/>
    </row>
    <row r="46" spans="1:6" x14ac:dyDescent="0.3">
      <c r="A46" s="16"/>
      <c r="B46" s="15" t="str">
        <f>IF($A46="","",IFERROR(INDEX(Jobs!$B$2:$B$501,MATCH($A46,Jobs!$A$2:$A$501,0)),""))</f>
        <v/>
      </c>
      <c r="C46" s="16"/>
      <c r="D46" s="17"/>
      <c r="E46" s="16"/>
      <c r="F46" s="16"/>
    </row>
    <row r="47" spans="1:6" x14ac:dyDescent="0.3">
      <c r="A47" s="16"/>
      <c r="B47" s="15" t="str">
        <f>IF($A47="","",IFERROR(INDEX(Jobs!$B$2:$B$501,MATCH($A47,Jobs!$A$2:$A$501,0)),""))</f>
        <v/>
      </c>
      <c r="C47" s="16"/>
      <c r="D47" s="17"/>
      <c r="E47" s="16"/>
      <c r="F47" s="16"/>
    </row>
    <row r="48" spans="1:6" x14ac:dyDescent="0.3">
      <c r="A48" s="16"/>
      <c r="B48" s="15" t="str">
        <f>IF($A48="","",IFERROR(INDEX(Jobs!$B$2:$B$501,MATCH($A48,Jobs!$A$2:$A$501,0)),""))</f>
        <v/>
      </c>
      <c r="C48" s="16"/>
      <c r="D48" s="17"/>
      <c r="E48" s="16"/>
      <c r="F48" s="16"/>
    </row>
    <row r="49" spans="1:6" x14ac:dyDescent="0.3">
      <c r="A49" s="16"/>
      <c r="B49" s="15" t="str">
        <f>IF($A49="","",IFERROR(INDEX(Jobs!$B$2:$B$501,MATCH($A49,Jobs!$A$2:$A$501,0)),""))</f>
        <v/>
      </c>
      <c r="C49" s="16"/>
      <c r="D49" s="17"/>
      <c r="E49" s="16"/>
      <c r="F49" s="16"/>
    </row>
    <row r="50" spans="1:6" x14ac:dyDescent="0.3">
      <c r="A50" s="16"/>
      <c r="B50" s="15" t="str">
        <f>IF($A50="","",IFERROR(INDEX(Jobs!$B$2:$B$501,MATCH($A50,Jobs!$A$2:$A$501,0)),""))</f>
        <v/>
      </c>
      <c r="C50" s="16"/>
      <c r="D50" s="17"/>
      <c r="E50" s="16"/>
      <c r="F50" s="16"/>
    </row>
    <row r="51" spans="1:6" x14ac:dyDescent="0.3">
      <c r="A51" s="16"/>
      <c r="B51" s="15" t="str">
        <f>IF($A51="","",IFERROR(INDEX(Jobs!$B$2:$B$501,MATCH($A51,Jobs!$A$2:$A$501,0)),""))</f>
        <v/>
      </c>
      <c r="C51" s="16"/>
      <c r="D51" s="17"/>
      <c r="E51" s="16"/>
      <c r="F51" s="16"/>
    </row>
    <row r="52" spans="1:6" x14ac:dyDescent="0.3">
      <c r="A52" s="16"/>
      <c r="B52" s="15" t="str">
        <f>IF($A52="","",IFERROR(INDEX(Jobs!$B$2:$B$501,MATCH($A52,Jobs!$A$2:$A$501,0)),""))</f>
        <v/>
      </c>
      <c r="C52" s="16"/>
      <c r="D52" s="17"/>
      <c r="E52" s="16"/>
      <c r="F52" s="16"/>
    </row>
    <row r="53" spans="1:6" x14ac:dyDescent="0.3">
      <c r="A53" s="16"/>
      <c r="B53" s="15" t="str">
        <f>IF($A53="","",IFERROR(INDEX(Jobs!$B$2:$B$501,MATCH($A53,Jobs!$A$2:$A$501,0)),""))</f>
        <v/>
      </c>
      <c r="C53" s="16"/>
      <c r="D53" s="17"/>
      <c r="E53" s="16"/>
      <c r="F53" s="16"/>
    </row>
    <row r="54" spans="1:6" x14ac:dyDescent="0.3">
      <c r="A54" s="16"/>
      <c r="B54" s="15" t="str">
        <f>IF($A54="","",IFERROR(INDEX(Jobs!$B$2:$B$501,MATCH($A54,Jobs!$A$2:$A$501,0)),""))</f>
        <v/>
      </c>
      <c r="C54" s="16"/>
      <c r="D54" s="17"/>
      <c r="E54" s="16"/>
      <c r="F54" s="16"/>
    </row>
    <row r="55" spans="1:6" x14ac:dyDescent="0.3">
      <c r="A55" s="16"/>
      <c r="B55" s="15" t="str">
        <f>IF($A55="","",IFERROR(INDEX(Jobs!$B$2:$B$501,MATCH($A55,Jobs!$A$2:$A$501,0)),""))</f>
        <v/>
      </c>
      <c r="C55" s="16"/>
      <c r="D55" s="17"/>
      <c r="E55" s="16"/>
      <c r="F55" s="16"/>
    </row>
    <row r="56" spans="1:6" x14ac:dyDescent="0.3">
      <c r="A56" s="16"/>
      <c r="B56" s="15" t="str">
        <f>IF($A56="","",IFERROR(INDEX(Jobs!$B$2:$B$501,MATCH($A56,Jobs!$A$2:$A$501,0)),""))</f>
        <v/>
      </c>
      <c r="C56" s="16"/>
      <c r="D56" s="17"/>
      <c r="E56" s="16"/>
      <c r="F56" s="16"/>
    </row>
    <row r="57" spans="1:6" x14ac:dyDescent="0.3">
      <c r="A57" s="16"/>
      <c r="B57" s="15" t="str">
        <f>IF($A57="","",IFERROR(INDEX(Jobs!$B$2:$B$501,MATCH($A57,Jobs!$A$2:$A$501,0)),""))</f>
        <v/>
      </c>
      <c r="C57" s="16"/>
      <c r="D57" s="17"/>
      <c r="E57" s="16"/>
      <c r="F57" s="16"/>
    </row>
    <row r="58" spans="1:6" x14ac:dyDescent="0.3">
      <c r="A58" s="16"/>
      <c r="B58" s="15" t="str">
        <f>IF($A58="","",IFERROR(INDEX(Jobs!$B$2:$B$501,MATCH($A58,Jobs!$A$2:$A$501,0)),""))</f>
        <v/>
      </c>
      <c r="C58" s="16"/>
      <c r="D58" s="17"/>
      <c r="E58" s="16"/>
      <c r="F58" s="16"/>
    </row>
    <row r="59" spans="1:6" x14ac:dyDescent="0.3">
      <c r="A59" s="16"/>
      <c r="B59" s="15" t="str">
        <f>IF($A59="","",IFERROR(INDEX(Jobs!$B$2:$B$501,MATCH($A59,Jobs!$A$2:$A$501,0)),""))</f>
        <v/>
      </c>
      <c r="C59" s="16"/>
      <c r="D59" s="17"/>
      <c r="E59" s="16"/>
      <c r="F59" s="16"/>
    </row>
    <row r="60" spans="1:6" x14ac:dyDescent="0.3">
      <c r="A60" s="16"/>
      <c r="B60" s="15" t="str">
        <f>IF($A60="","",IFERROR(INDEX(Jobs!$B$2:$B$501,MATCH($A60,Jobs!$A$2:$A$501,0)),""))</f>
        <v/>
      </c>
      <c r="C60" s="16"/>
      <c r="D60" s="17"/>
      <c r="E60" s="16"/>
      <c r="F60" s="16"/>
    </row>
    <row r="61" spans="1:6" x14ac:dyDescent="0.3">
      <c r="A61" s="16"/>
      <c r="B61" s="15" t="str">
        <f>IF($A61="","",IFERROR(INDEX(Jobs!$B$2:$B$501,MATCH($A61,Jobs!$A$2:$A$501,0)),""))</f>
        <v/>
      </c>
      <c r="C61" s="16"/>
      <c r="D61" s="17"/>
      <c r="E61" s="16"/>
      <c r="F61" s="16"/>
    </row>
    <row r="62" spans="1:6" x14ac:dyDescent="0.3">
      <c r="A62" s="16"/>
      <c r="B62" s="15" t="str">
        <f>IF($A62="","",IFERROR(INDEX(Jobs!$B$2:$B$501,MATCH($A62,Jobs!$A$2:$A$501,0)),""))</f>
        <v/>
      </c>
      <c r="C62" s="16"/>
      <c r="D62" s="17"/>
      <c r="E62" s="16"/>
      <c r="F62" s="16"/>
    </row>
    <row r="63" spans="1:6" x14ac:dyDescent="0.3">
      <c r="A63" s="16"/>
      <c r="B63" s="15" t="str">
        <f>IF($A63="","",IFERROR(INDEX(Jobs!$B$2:$B$501,MATCH($A63,Jobs!$A$2:$A$501,0)),""))</f>
        <v/>
      </c>
      <c r="C63" s="16"/>
      <c r="D63" s="17"/>
      <c r="E63" s="16"/>
      <c r="F63" s="16"/>
    </row>
    <row r="64" spans="1:6" x14ac:dyDescent="0.3">
      <c r="A64" s="16"/>
      <c r="B64" s="15" t="str">
        <f>IF($A64="","",IFERROR(INDEX(Jobs!$B$2:$B$501,MATCH($A64,Jobs!$A$2:$A$501,0)),""))</f>
        <v/>
      </c>
      <c r="C64" s="16"/>
      <c r="D64" s="17"/>
      <c r="E64" s="16"/>
      <c r="F64" s="16"/>
    </row>
    <row r="65" spans="1:6" x14ac:dyDescent="0.3">
      <c r="A65" s="16"/>
      <c r="B65" s="15" t="str">
        <f>IF($A65="","",IFERROR(INDEX(Jobs!$B$2:$B$501,MATCH($A65,Jobs!$A$2:$A$501,0)),""))</f>
        <v/>
      </c>
      <c r="C65" s="16"/>
      <c r="D65" s="17"/>
      <c r="E65" s="16"/>
      <c r="F65" s="16"/>
    </row>
    <row r="66" spans="1:6" x14ac:dyDescent="0.3">
      <c r="A66" s="16"/>
      <c r="B66" s="15" t="str">
        <f>IF($A66="","",IFERROR(INDEX(Jobs!$B$2:$B$501,MATCH($A66,Jobs!$A$2:$A$501,0)),""))</f>
        <v/>
      </c>
      <c r="C66" s="16"/>
      <c r="D66" s="17"/>
      <c r="E66" s="16"/>
      <c r="F66" s="16"/>
    </row>
    <row r="67" spans="1:6" x14ac:dyDescent="0.3">
      <c r="A67" s="16"/>
      <c r="B67" s="15" t="str">
        <f>IF($A67="","",IFERROR(INDEX(Jobs!$B$2:$B$501,MATCH($A67,Jobs!$A$2:$A$501,0)),""))</f>
        <v/>
      </c>
      <c r="C67" s="16"/>
      <c r="D67" s="17"/>
      <c r="E67" s="16"/>
      <c r="F67" s="16"/>
    </row>
    <row r="68" spans="1:6" x14ac:dyDescent="0.3">
      <c r="A68" s="16"/>
      <c r="B68" s="15" t="str">
        <f>IF($A68="","",IFERROR(INDEX(Jobs!$B$2:$B$501,MATCH($A68,Jobs!$A$2:$A$501,0)),""))</f>
        <v/>
      </c>
      <c r="C68" s="16"/>
      <c r="D68" s="17"/>
      <c r="E68" s="16"/>
      <c r="F68" s="16"/>
    </row>
    <row r="69" spans="1:6" x14ac:dyDescent="0.3">
      <c r="A69" s="16"/>
      <c r="B69" s="15" t="str">
        <f>IF($A69="","",IFERROR(INDEX(Jobs!$B$2:$B$501,MATCH($A69,Jobs!$A$2:$A$501,0)),""))</f>
        <v/>
      </c>
      <c r="C69" s="16"/>
      <c r="D69" s="17"/>
      <c r="E69" s="16"/>
      <c r="F69" s="16"/>
    </row>
    <row r="70" spans="1:6" x14ac:dyDescent="0.3">
      <c r="A70" s="16"/>
      <c r="B70" s="15" t="str">
        <f>IF($A70="","",IFERROR(INDEX(Jobs!$B$2:$B$501,MATCH($A70,Jobs!$A$2:$A$501,0)),""))</f>
        <v/>
      </c>
      <c r="C70" s="16"/>
      <c r="D70" s="17"/>
      <c r="E70" s="16"/>
      <c r="F70" s="16"/>
    </row>
    <row r="71" spans="1:6" x14ac:dyDescent="0.3">
      <c r="A71" s="16"/>
      <c r="B71" s="15" t="str">
        <f>IF($A71="","",IFERROR(INDEX(Jobs!$B$2:$B$501,MATCH($A71,Jobs!$A$2:$A$501,0)),""))</f>
        <v/>
      </c>
      <c r="C71" s="16"/>
      <c r="D71" s="17"/>
      <c r="E71" s="16"/>
      <c r="F71" s="16"/>
    </row>
    <row r="72" spans="1:6" x14ac:dyDescent="0.3">
      <c r="A72" s="16"/>
      <c r="B72" s="15" t="str">
        <f>IF($A72="","",IFERROR(INDEX(Jobs!$B$2:$B$501,MATCH($A72,Jobs!$A$2:$A$501,0)),""))</f>
        <v/>
      </c>
      <c r="C72" s="16"/>
      <c r="D72" s="17"/>
      <c r="E72" s="16"/>
      <c r="F72" s="16"/>
    </row>
    <row r="73" spans="1:6" x14ac:dyDescent="0.3">
      <c r="A73" s="16"/>
      <c r="B73" s="15" t="str">
        <f>IF($A73="","",IFERROR(INDEX(Jobs!$B$2:$B$501,MATCH($A73,Jobs!$A$2:$A$501,0)),""))</f>
        <v/>
      </c>
      <c r="C73" s="16"/>
      <c r="D73" s="17"/>
      <c r="E73" s="16"/>
      <c r="F73" s="16"/>
    </row>
    <row r="74" spans="1:6" x14ac:dyDescent="0.3">
      <c r="A74" s="16"/>
      <c r="B74" s="15" t="str">
        <f>IF($A74="","",IFERROR(INDEX(Jobs!$B$2:$B$501,MATCH($A74,Jobs!$A$2:$A$501,0)),""))</f>
        <v/>
      </c>
      <c r="C74" s="16"/>
      <c r="D74" s="17"/>
      <c r="E74" s="16"/>
      <c r="F74" s="16"/>
    </row>
    <row r="75" spans="1:6" x14ac:dyDescent="0.3">
      <c r="A75" s="16"/>
      <c r="B75" s="15" t="str">
        <f>IF($A75="","",IFERROR(INDEX(Jobs!$B$2:$B$501,MATCH($A75,Jobs!$A$2:$A$501,0)),""))</f>
        <v/>
      </c>
      <c r="C75" s="16"/>
      <c r="D75" s="17"/>
      <c r="E75" s="16"/>
      <c r="F75" s="16"/>
    </row>
    <row r="76" spans="1:6" x14ac:dyDescent="0.3">
      <c r="A76" s="16"/>
      <c r="B76" s="15" t="str">
        <f>IF($A76="","",IFERROR(INDEX(Jobs!$B$2:$B$501,MATCH($A76,Jobs!$A$2:$A$501,0)),""))</f>
        <v/>
      </c>
      <c r="C76" s="16"/>
      <c r="D76" s="17"/>
      <c r="E76" s="16"/>
      <c r="F76" s="16"/>
    </row>
    <row r="77" spans="1:6" x14ac:dyDescent="0.3">
      <c r="A77" s="16"/>
      <c r="B77" s="15" t="str">
        <f>IF($A77="","",IFERROR(INDEX(Jobs!$B$2:$B$501,MATCH($A77,Jobs!$A$2:$A$501,0)),""))</f>
        <v/>
      </c>
      <c r="C77" s="16"/>
      <c r="D77" s="17"/>
      <c r="E77" s="16"/>
      <c r="F77" s="16"/>
    </row>
    <row r="78" spans="1:6" x14ac:dyDescent="0.3">
      <c r="A78" s="16"/>
      <c r="B78" s="15" t="str">
        <f>IF($A78="","",IFERROR(INDEX(Jobs!$B$2:$B$501,MATCH($A78,Jobs!$A$2:$A$501,0)),""))</f>
        <v/>
      </c>
      <c r="C78" s="16"/>
      <c r="D78" s="17"/>
      <c r="E78" s="16"/>
      <c r="F78" s="16"/>
    </row>
    <row r="79" spans="1:6" x14ac:dyDescent="0.3">
      <c r="A79" s="16"/>
      <c r="B79" s="15" t="str">
        <f>IF($A79="","",IFERROR(INDEX(Jobs!$B$2:$B$501,MATCH($A79,Jobs!$A$2:$A$501,0)),""))</f>
        <v/>
      </c>
      <c r="C79" s="16"/>
      <c r="D79" s="17"/>
      <c r="E79" s="16"/>
      <c r="F79" s="16"/>
    </row>
    <row r="80" spans="1:6" x14ac:dyDescent="0.3">
      <c r="A80" s="16"/>
      <c r="B80" s="15" t="str">
        <f>IF($A80="","",IFERROR(INDEX(Jobs!$B$2:$B$501,MATCH($A80,Jobs!$A$2:$A$501,0)),""))</f>
        <v/>
      </c>
      <c r="C80" s="16"/>
      <c r="D80" s="17"/>
      <c r="E80" s="16"/>
      <c r="F80" s="16"/>
    </row>
    <row r="81" spans="1:6" x14ac:dyDescent="0.3">
      <c r="A81" s="16"/>
      <c r="B81" s="15" t="str">
        <f>IF($A81="","",IFERROR(INDEX(Jobs!$B$2:$B$501,MATCH($A81,Jobs!$A$2:$A$501,0)),""))</f>
        <v/>
      </c>
      <c r="C81" s="16"/>
      <c r="D81" s="17"/>
      <c r="E81" s="16"/>
      <c r="F81" s="16"/>
    </row>
    <row r="82" spans="1:6" x14ac:dyDescent="0.3">
      <c r="A82" s="16"/>
      <c r="B82" s="15" t="str">
        <f>IF($A82="","",IFERROR(INDEX(Jobs!$B$2:$B$501,MATCH($A82,Jobs!$A$2:$A$501,0)),""))</f>
        <v/>
      </c>
      <c r="C82" s="16"/>
      <c r="D82" s="17"/>
      <c r="E82" s="16"/>
      <c r="F82" s="16"/>
    </row>
    <row r="83" spans="1:6" x14ac:dyDescent="0.3">
      <c r="A83" s="16"/>
      <c r="B83" s="15" t="str">
        <f>IF($A83="","",IFERROR(INDEX(Jobs!$B$2:$B$501,MATCH($A83,Jobs!$A$2:$A$501,0)),""))</f>
        <v/>
      </c>
      <c r="C83" s="16"/>
      <c r="D83" s="17"/>
      <c r="E83" s="16"/>
      <c r="F83" s="16"/>
    </row>
    <row r="84" spans="1:6" x14ac:dyDescent="0.3">
      <c r="A84" s="16"/>
      <c r="B84" s="15" t="str">
        <f>IF($A84="","",IFERROR(INDEX(Jobs!$B$2:$B$501,MATCH($A84,Jobs!$A$2:$A$501,0)),""))</f>
        <v/>
      </c>
      <c r="C84" s="16"/>
      <c r="D84" s="17"/>
      <c r="E84" s="16"/>
      <c r="F84" s="16"/>
    </row>
    <row r="85" spans="1:6" x14ac:dyDescent="0.3">
      <c r="A85" s="16"/>
      <c r="B85" s="15" t="str">
        <f>IF($A85="","",IFERROR(INDEX(Jobs!$B$2:$B$501,MATCH($A85,Jobs!$A$2:$A$501,0)),""))</f>
        <v/>
      </c>
      <c r="C85" s="16"/>
      <c r="D85" s="17"/>
      <c r="E85" s="16"/>
      <c r="F85" s="16"/>
    </row>
    <row r="86" spans="1:6" x14ac:dyDescent="0.3">
      <c r="A86" s="16"/>
      <c r="B86" s="15" t="str">
        <f>IF($A86="","",IFERROR(INDEX(Jobs!$B$2:$B$501,MATCH($A86,Jobs!$A$2:$A$501,0)),""))</f>
        <v/>
      </c>
      <c r="C86" s="16"/>
      <c r="D86" s="17"/>
      <c r="E86" s="16"/>
      <c r="F86" s="16"/>
    </row>
    <row r="87" spans="1:6" x14ac:dyDescent="0.3">
      <c r="A87" s="16"/>
      <c r="B87" s="15" t="str">
        <f>IF($A87="","",IFERROR(INDEX(Jobs!$B$2:$B$501,MATCH($A87,Jobs!$A$2:$A$501,0)),""))</f>
        <v/>
      </c>
      <c r="C87" s="16"/>
      <c r="D87" s="17"/>
      <c r="E87" s="16"/>
      <c r="F87" s="16"/>
    </row>
    <row r="88" spans="1:6" x14ac:dyDescent="0.3">
      <c r="A88" s="16"/>
      <c r="B88" s="15" t="str">
        <f>IF($A88="","",IFERROR(INDEX(Jobs!$B$2:$B$501,MATCH($A88,Jobs!$A$2:$A$501,0)),""))</f>
        <v/>
      </c>
      <c r="C88" s="16"/>
      <c r="D88" s="17"/>
      <c r="E88" s="16"/>
      <c r="F88" s="16"/>
    </row>
    <row r="89" spans="1:6" x14ac:dyDescent="0.3">
      <c r="A89" s="16"/>
      <c r="B89" s="15" t="str">
        <f>IF($A89="","",IFERROR(INDEX(Jobs!$B$2:$B$501,MATCH($A89,Jobs!$A$2:$A$501,0)),""))</f>
        <v/>
      </c>
      <c r="C89" s="16"/>
      <c r="D89" s="17"/>
      <c r="E89" s="16"/>
      <c r="F89" s="16"/>
    </row>
    <row r="90" spans="1:6" x14ac:dyDescent="0.3">
      <c r="A90" s="16"/>
      <c r="B90" s="15" t="str">
        <f>IF($A90="","",IFERROR(INDEX(Jobs!$B$2:$B$501,MATCH($A90,Jobs!$A$2:$A$501,0)),""))</f>
        <v/>
      </c>
      <c r="C90" s="16"/>
      <c r="D90" s="17"/>
      <c r="E90" s="16"/>
      <c r="F90" s="16"/>
    </row>
    <row r="91" spans="1:6" x14ac:dyDescent="0.3">
      <c r="A91" s="16"/>
      <c r="B91" s="15" t="str">
        <f>IF($A91="","",IFERROR(INDEX(Jobs!$B$2:$B$501,MATCH($A91,Jobs!$A$2:$A$501,0)),""))</f>
        <v/>
      </c>
      <c r="C91" s="16"/>
      <c r="D91" s="17"/>
      <c r="E91" s="16"/>
      <c r="F91" s="16"/>
    </row>
    <row r="92" spans="1:6" x14ac:dyDescent="0.3">
      <c r="A92" s="16"/>
      <c r="B92" s="15" t="str">
        <f>IF($A92="","",IFERROR(INDEX(Jobs!$B$2:$B$501,MATCH($A92,Jobs!$A$2:$A$501,0)),""))</f>
        <v/>
      </c>
      <c r="C92" s="16"/>
      <c r="D92" s="17"/>
      <c r="E92" s="16"/>
      <c r="F92" s="16"/>
    </row>
    <row r="93" spans="1:6" x14ac:dyDescent="0.3">
      <c r="A93" s="16"/>
      <c r="B93" s="15" t="str">
        <f>IF($A93="","",IFERROR(INDEX(Jobs!$B$2:$B$501,MATCH($A93,Jobs!$A$2:$A$501,0)),""))</f>
        <v/>
      </c>
      <c r="C93" s="16"/>
      <c r="D93" s="17"/>
      <c r="E93" s="16"/>
      <c r="F93" s="16"/>
    </row>
    <row r="94" spans="1:6" x14ac:dyDescent="0.3">
      <c r="A94" s="16"/>
      <c r="B94" s="15" t="str">
        <f>IF($A94="","",IFERROR(INDEX(Jobs!$B$2:$B$501,MATCH($A94,Jobs!$A$2:$A$501,0)),""))</f>
        <v/>
      </c>
      <c r="C94" s="16"/>
      <c r="D94" s="17"/>
      <c r="E94" s="16"/>
      <c r="F94" s="16"/>
    </row>
    <row r="95" spans="1:6" x14ac:dyDescent="0.3">
      <c r="A95" s="16"/>
      <c r="B95" s="15" t="str">
        <f>IF($A95="","",IFERROR(INDEX(Jobs!$B$2:$B$501,MATCH($A95,Jobs!$A$2:$A$501,0)),""))</f>
        <v/>
      </c>
      <c r="C95" s="16"/>
      <c r="D95" s="17"/>
      <c r="E95" s="16"/>
      <c r="F95" s="16"/>
    </row>
    <row r="96" spans="1:6" x14ac:dyDescent="0.3">
      <c r="A96" s="16"/>
      <c r="B96" s="15" t="str">
        <f>IF($A96="","",IFERROR(INDEX(Jobs!$B$2:$B$501,MATCH($A96,Jobs!$A$2:$A$501,0)),""))</f>
        <v/>
      </c>
      <c r="C96" s="16"/>
      <c r="D96" s="17"/>
      <c r="E96" s="16"/>
      <c r="F96" s="16"/>
    </row>
    <row r="97" spans="1:6" x14ac:dyDescent="0.3">
      <c r="A97" s="16"/>
      <c r="B97" s="15" t="str">
        <f>IF($A97="","",IFERROR(INDEX(Jobs!$B$2:$B$501,MATCH($A97,Jobs!$A$2:$A$501,0)),""))</f>
        <v/>
      </c>
      <c r="C97" s="16"/>
      <c r="D97" s="17"/>
      <c r="E97" s="16"/>
      <c r="F97" s="16"/>
    </row>
    <row r="98" spans="1:6" x14ac:dyDescent="0.3">
      <c r="A98" s="16"/>
      <c r="B98" s="15" t="str">
        <f>IF($A98="","",IFERROR(INDEX(Jobs!$B$2:$B$501,MATCH($A98,Jobs!$A$2:$A$501,0)),""))</f>
        <v/>
      </c>
      <c r="C98" s="16"/>
      <c r="D98" s="17"/>
      <c r="E98" s="16"/>
      <c r="F98" s="16"/>
    </row>
    <row r="99" spans="1:6" x14ac:dyDescent="0.3">
      <c r="A99" s="16"/>
      <c r="B99" s="15" t="str">
        <f>IF($A99="","",IFERROR(INDEX(Jobs!$B$2:$B$501,MATCH($A99,Jobs!$A$2:$A$501,0)),""))</f>
        <v/>
      </c>
      <c r="C99" s="16"/>
      <c r="D99" s="17"/>
      <c r="E99" s="16"/>
      <c r="F99" s="16"/>
    </row>
    <row r="100" spans="1:6" x14ac:dyDescent="0.3">
      <c r="A100" s="16"/>
      <c r="B100" s="15" t="str">
        <f>IF($A100="","",IFERROR(INDEX(Jobs!$B$2:$B$501,MATCH($A100,Jobs!$A$2:$A$501,0)),""))</f>
        <v/>
      </c>
      <c r="C100" s="16"/>
      <c r="D100" s="17"/>
      <c r="E100" s="16"/>
      <c r="F100" s="16"/>
    </row>
    <row r="101" spans="1:6" x14ac:dyDescent="0.3">
      <c r="A101" s="16"/>
      <c r="B101" s="15" t="str">
        <f>IF($A101="","",IFERROR(INDEX(Jobs!$B$2:$B$501,MATCH($A101,Jobs!$A$2:$A$501,0)),""))</f>
        <v/>
      </c>
      <c r="C101" s="16"/>
      <c r="D101" s="17"/>
      <c r="E101" s="16"/>
      <c r="F101" s="16"/>
    </row>
    <row r="102" spans="1:6" x14ac:dyDescent="0.3">
      <c r="A102" s="16"/>
      <c r="B102" s="15" t="str">
        <f>IF($A102="","",IFERROR(INDEX(Jobs!$B$2:$B$501,MATCH($A102,Jobs!$A$2:$A$501,0)),""))</f>
        <v/>
      </c>
      <c r="C102" s="16"/>
      <c r="D102" s="17"/>
      <c r="E102" s="16"/>
      <c r="F102" s="16"/>
    </row>
    <row r="103" spans="1:6" x14ac:dyDescent="0.3">
      <c r="A103" s="16"/>
      <c r="B103" s="15" t="str">
        <f>IF($A103="","",IFERROR(INDEX(Jobs!$B$2:$B$501,MATCH($A103,Jobs!$A$2:$A$501,0)),""))</f>
        <v/>
      </c>
      <c r="C103" s="16"/>
      <c r="D103" s="17"/>
      <c r="E103" s="16"/>
      <c r="F103" s="16"/>
    </row>
    <row r="104" spans="1:6" x14ac:dyDescent="0.3">
      <c r="A104" s="16"/>
      <c r="B104" s="15" t="str">
        <f>IF($A104="","",IFERROR(INDEX(Jobs!$B$2:$B$501,MATCH($A104,Jobs!$A$2:$A$501,0)),""))</f>
        <v/>
      </c>
      <c r="C104" s="16"/>
      <c r="D104" s="17"/>
      <c r="E104" s="16"/>
      <c r="F104" s="16"/>
    </row>
    <row r="105" spans="1:6" x14ac:dyDescent="0.3">
      <c r="A105" s="16"/>
      <c r="B105" s="15" t="str">
        <f>IF($A105="","",IFERROR(INDEX(Jobs!$B$2:$B$501,MATCH($A105,Jobs!$A$2:$A$501,0)),""))</f>
        <v/>
      </c>
      <c r="C105" s="16"/>
      <c r="D105" s="17"/>
      <c r="E105" s="16"/>
      <c r="F105" s="16"/>
    </row>
    <row r="106" spans="1:6" x14ac:dyDescent="0.3">
      <c r="A106" s="16"/>
      <c r="B106" s="15" t="str">
        <f>IF($A106="","",IFERROR(INDEX(Jobs!$B$2:$B$501,MATCH($A106,Jobs!$A$2:$A$501,0)),""))</f>
        <v/>
      </c>
      <c r="C106" s="16"/>
      <c r="D106" s="17"/>
      <c r="E106" s="16"/>
      <c r="F106" s="16"/>
    </row>
    <row r="107" spans="1:6" x14ac:dyDescent="0.3">
      <c r="A107" s="16"/>
      <c r="B107" s="15" t="str">
        <f>IF($A107="","",IFERROR(INDEX(Jobs!$B$2:$B$501,MATCH($A107,Jobs!$A$2:$A$501,0)),""))</f>
        <v/>
      </c>
      <c r="C107" s="16"/>
      <c r="D107" s="17"/>
      <c r="E107" s="16"/>
      <c r="F107" s="16"/>
    </row>
    <row r="108" spans="1:6" x14ac:dyDescent="0.3">
      <c r="A108" s="16"/>
      <c r="B108" s="15" t="str">
        <f>IF($A108="","",IFERROR(INDEX(Jobs!$B$2:$B$501,MATCH($A108,Jobs!$A$2:$A$501,0)),""))</f>
        <v/>
      </c>
      <c r="C108" s="16"/>
      <c r="D108" s="17"/>
      <c r="E108" s="16"/>
      <c r="F108" s="16"/>
    </row>
    <row r="109" spans="1:6" x14ac:dyDescent="0.3">
      <c r="A109" s="16"/>
      <c r="B109" s="15" t="str">
        <f>IF($A109="","",IFERROR(INDEX(Jobs!$B$2:$B$501,MATCH($A109,Jobs!$A$2:$A$501,0)),""))</f>
        <v/>
      </c>
      <c r="C109" s="16"/>
      <c r="D109" s="17"/>
      <c r="E109" s="16"/>
      <c r="F109" s="16"/>
    </row>
    <row r="110" spans="1:6" x14ac:dyDescent="0.3">
      <c r="A110" s="16"/>
      <c r="B110" s="15" t="str">
        <f>IF($A110="","",IFERROR(INDEX(Jobs!$B$2:$B$501,MATCH($A110,Jobs!$A$2:$A$501,0)),""))</f>
        <v/>
      </c>
      <c r="C110" s="16"/>
      <c r="D110" s="17"/>
      <c r="E110" s="16"/>
      <c r="F110" s="16"/>
    </row>
    <row r="111" spans="1:6" x14ac:dyDescent="0.3">
      <c r="A111" s="16"/>
      <c r="B111" s="15" t="str">
        <f>IF($A111="","",IFERROR(INDEX(Jobs!$B$2:$B$501,MATCH($A111,Jobs!$A$2:$A$501,0)),""))</f>
        <v/>
      </c>
      <c r="C111" s="16"/>
      <c r="D111" s="17"/>
      <c r="E111" s="16"/>
      <c r="F111" s="16"/>
    </row>
    <row r="112" spans="1:6" x14ac:dyDescent="0.3">
      <c r="A112" s="16"/>
      <c r="B112" s="15" t="str">
        <f>IF($A112="","",IFERROR(INDEX(Jobs!$B$2:$B$501,MATCH($A112,Jobs!$A$2:$A$501,0)),""))</f>
        <v/>
      </c>
      <c r="C112" s="16"/>
      <c r="D112" s="17"/>
      <c r="E112" s="16"/>
      <c r="F112" s="16"/>
    </row>
    <row r="113" spans="1:6" x14ac:dyDescent="0.3">
      <c r="A113" s="16"/>
      <c r="B113" s="15" t="str">
        <f>IF($A113="","",IFERROR(INDEX(Jobs!$B$2:$B$501,MATCH($A113,Jobs!$A$2:$A$501,0)),""))</f>
        <v/>
      </c>
      <c r="C113" s="16"/>
      <c r="D113" s="17"/>
      <c r="E113" s="16"/>
      <c r="F113" s="16"/>
    </row>
    <row r="114" spans="1:6" x14ac:dyDescent="0.3">
      <c r="A114" s="16"/>
      <c r="B114" s="15" t="str">
        <f>IF($A114="","",IFERROR(INDEX(Jobs!$B$2:$B$501,MATCH($A114,Jobs!$A$2:$A$501,0)),""))</f>
        <v/>
      </c>
      <c r="C114" s="16"/>
      <c r="D114" s="17"/>
      <c r="E114" s="16"/>
      <c r="F114" s="16"/>
    </row>
    <row r="115" spans="1:6" x14ac:dyDescent="0.3">
      <c r="A115" s="16"/>
      <c r="B115" s="15" t="str">
        <f>IF($A115="","",IFERROR(INDEX(Jobs!$B$2:$B$501,MATCH($A115,Jobs!$A$2:$A$501,0)),""))</f>
        <v/>
      </c>
      <c r="C115" s="16"/>
      <c r="D115" s="17"/>
      <c r="E115" s="16"/>
      <c r="F115" s="16"/>
    </row>
    <row r="116" spans="1:6" x14ac:dyDescent="0.3">
      <c r="A116" s="16"/>
      <c r="B116" s="15" t="str">
        <f>IF($A116="","",IFERROR(INDEX(Jobs!$B$2:$B$501,MATCH($A116,Jobs!$A$2:$A$501,0)),""))</f>
        <v/>
      </c>
      <c r="C116" s="16"/>
      <c r="D116" s="17"/>
      <c r="E116" s="16"/>
      <c r="F116" s="16"/>
    </row>
    <row r="117" spans="1:6" x14ac:dyDescent="0.3">
      <c r="A117" s="16"/>
      <c r="B117" s="15" t="str">
        <f>IF($A117="","",IFERROR(INDEX(Jobs!$B$2:$B$501,MATCH($A117,Jobs!$A$2:$A$501,0)),""))</f>
        <v/>
      </c>
      <c r="C117" s="16"/>
      <c r="D117" s="17"/>
      <c r="E117" s="16"/>
      <c r="F117" s="16"/>
    </row>
    <row r="118" spans="1:6" x14ac:dyDescent="0.3">
      <c r="A118" s="16"/>
      <c r="B118" s="15" t="str">
        <f>IF($A118="","",IFERROR(INDEX(Jobs!$B$2:$B$501,MATCH($A118,Jobs!$A$2:$A$501,0)),""))</f>
        <v/>
      </c>
      <c r="C118" s="16"/>
      <c r="D118" s="17"/>
      <c r="E118" s="16"/>
      <c r="F118" s="16"/>
    </row>
    <row r="119" spans="1:6" x14ac:dyDescent="0.3">
      <c r="A119" s="16"/>
      <c r="B119" s="15" t="str">
        <f>IF($A119="","",IFERROR(INDEX(Jobs!$B$2:$B$501,MATCH($A119,Jobs!$A$2:$A$501,0)),""))</f>
        <v/>
      </c>
      <c r="C119" s="16"/>
      <c r="D119" s="17"/>
      <c r="E119" s="16"/>
      <c r="F119" s="16"/>
    </row>
    <row r="120" spans="1:6" x14ac:dyDescent="0.3">
      <c r="A120" s="16"/>
      <c r="B120" s="15" t="str">
        <f>IF($A120="","",IFERROR(INDEX(Jobs!$B$2:$B$501,MATCH($A120,Jobs!$A$2:$A$501,0)),""))</f>
        <v/>
      </c>
      <c r="C120" s="16"/>
      <c r="D120" s="17"/>
      <c r="E120" s="16"/>
      <c r="F120" s="16"/>
    </row>
    <row r="121" spans="1:6" x14ac:dyDescent="0.3">
      <c r="A121" s="16"/>
      <c r="B121" s="15" t="str">
        <f>IF($A121="","",IFERROR(INDEX(Jobs!$B$2:$B$501,MATCH($A121,Jobs!$A$2:$A$501,0)),""))</f>
        <v/>
      </c>
      <c r="C121" s="16"/>
      <c r="D121" s="17"/>
      <c r="E121" s="16"/>
      <c r="F121" s="16"/>
    </row>
    <row r="122" spans="1:6" x14ac:dyDescent="0.3">
      <c r="A122" s="16"/>
      <c r="B122" s="15" t="str">
        <f>IF($A122="","",IFERROR(INDEX(Jobs!$B$2:$B$501,MATCH($A122,Jobs!$A$2:$A$501,0)),""))</f>
        <v/>
      </c>
      <c r="C122" s="16"/>
      <c r="D122" s="17"/>
      <c r="E122" s="16"/>
      <c r="F122" s="16"/>
    </row>
    <row r="123" spans="1:6" x14ac:dyDescent="0.3">
      <c r="A123" s="16"/>
      <c r="B123" s="15" t="str">
        <f>IF($A123="","",IFERROR(INDEX(Jobs!$B$2:$B$501,MATCH($A123,Jobs!$A$2:$A$501,0)),""))</f>
        <v/>
      </c>
      <c r="C123" s="16"/>
      <c r="D123" s="17"/>
      <c r="E123" s="16"/>
      <c r="F123" s="16"/>
    </row>
    <row r="124" spans="1:6" x14ac:dyDescent="0.3">
      <c r="A124" s="16"/>
      <c r="B124" s="15" t="str">
        <f>IF($A124="","",IFERROR(INDEX(Jobs!$B$2:$B$501,MATCH($A124,Jobs!$A$2:$A$501,0)),""))</f>
        <v/>
      </c>
      <c r="C124" s="16"/>
      <c r="D124" s="17"/>
      <c r="E124" s="16"/>
      <c r="F124" s="16"/>
    </row>
    <row r="125" spans="1:6" x14ac:dyDescent="0.3">
      <c r="A125" s="16"/>
      <c r="B125" s="15" t="str">
        <f>IF($A125="","",IFERROR(INDEX(Jobs!$B$2:$B$501,MATCH($A125,Jobs!$A$2:$A$501,0)),""))</f>
        <v/>
      </c>
      <c r="C125" s="16"/>
      <c r="D125" s="17"/>
      <c r="E125" s="16"/>
      <c r="F125" s="16"/>
    </row>
    <row r="126" spans="1:6" x14ac:dyDescent="0.3">
      <c r="A126" s="16"/>
      <c r="B126" s="15" t="str">
        <f>IF($A126="","",IFERROR(INDEX(Jobs!$B$2:$B$501,MATCH($A126,Jobs!$A$2:$A$501,0)),""))</f>
        <v/>
      </c>
      <c r="C126" s="16"/>
      <c r="D126" s="17"/>
      <c r="E126" s="16"/>
      <c r="F126" s="16"/>
    </row>
    <row r="127" spans="1:6" x14ac:dyDescent="0.3">
      <c r="A127" s="16"/>
      <c r="B127" s="15" t="str">
        <f>IF($A127="","",IFERROR(INDEX(Jobs!$B$2:$B$501,MATCH($A127,Jobs!$A$2:$A$501,0)),""))</f>
        <v/>
      </c>
      <c r="C127" s="16"/>
      <c r="D127" s="17"/>
      <c r="E127" s="16"/>
      <c r="F127" s="16"/>
    </row>
    <row r="128" spans="1:6" x14ac:dyDescent="0.3">
      <c r="A128" s="16"/>
      <c r="B128" s="15" t="str">
        <f>IF($A128="","",IFERROR(INDEX(Jobs!$B$2:$B$501,MATCH($A128,Jobs!$A$2:$A$501,0)),""))</f>
        <v/>
      </c>
      <c r="C128" s="16"/>
      <c r="D128" s="17"/>
      <c r="E128" s="16"/>
      <c r="F128" s="16"/>
    </row>
    <row r="129" spans="1:6" x14ac:dyDescent="0.3">
      <c r="A129" s="16"/>
      <c r="B129" s="15" t="str">
        <f>IF($A129="","",IFERROR(INDEX(Jobs!$B$2:$B$501,MATCH($A129,Jobs!$A$2:$A$501,0)),""))</f>
        <v/>
      </c>
      <c r="C129" s="16"/>
      <c r="D129" s="17"/>
      <c r="E129" s="16"/>
      <c r="F129" s="16"/>
    </row>
    <row r="130" spans="1:6" x14ac:dyDescent="0.3">
      <c r="A130" s="16"/>
      <c r="B130" s="15" t="str">
        <f>IF($A130="","",IFERROR(INDEX(Jobs!$B$2:$B$501,MATCH($A130,Jobs!$A$2:$A$501,0)),""))</f>
        <v/>
      </c>
      <c r="C130" s="16"/>
      <c r="D130" s="17"/>
      <c r="E130" s="16"/>
      <c r="F130" s="16"/>
    </row>
    <row r="131" spans="1:6" x14ac:dyDescent="0.3">
      <c r="A131" s="16"/>
      <c r="B131" s="15" t="str">
        <f>IF($A131="","",IFERROR(INDEX(Jobs!$B$2:$B$501,MATCH($A131,Jobs!$A$2:$A$501,0)),""))</f>
        <v/>
      </c>
      <c r="C131" s="16"/>
      <c r="D131" s="17"/>
      <c r="E131" s="16"/>
      <c r="F131" s="16"/>
    </row>
    <row r="132" spans="1:6" x14ac:dyDescent="0.3">
      <c r="A132" s="16"/>
      <c r="B132" s="15" t="str">
        <f>IF($A132="","",IFERROR(INDEX(Jobs!$B$2:$B$501,MATCH($A132,Jobs!$A$2:$A$501,0)),""))</f>
        <v/>
      </c>
      <c r="C132" s="16"/>
      <c r="D132" s="17"/>
      <c r="E132" s="16"/>
      <c r="F132" s="16"/>
    </row>
    <row r="133" spans="1:6" x14ac:dyDescent="0.3">
      <c r="A133" s="16"/>
      <c r="B133" s="15" t="str">
        <f>IF($A133="","",IFERROR(INDEX(Jobs!$B$2:$B$501,MATCH($A133,Jobs!$A$2:$A$501,0)),""))</f>
        <v/>
      </c>
      <c r="C133" s="16"/>
      <c r="D133" s="17"/>
      <c r="E133" s="16"/>
      <c r="F133" s="16"/>
    </row>
    <row r="134" spans="1:6" x14ac:dyDescent="0.3">
      <c r="A134" s="16"/>
      <c r="B134" s="15" t="str">
        <f>IF($A134="","",IFERROR(INDEX(Jobs!$B$2:$B$501,MATCH($A134,Jobs!$A$2:$A$501,0)),""))</f>
        <v/>
      </c>
      <c r="C134" s="16"/>
      <c r="D134" s="17"/>
      <c r="E134" s="16"/>
      <c r="F134" s="16"/>
    </row>
    <row r="135" spans="1:6" x14ac:dyDescent="0.3">
      <c r="A135" s="16"/>
      <c r="B135" s="15" t="str">
        <f>IF($A135="","",IFERROR(INDEX(Jobs!$B$2:$B$501,MATCH($A135,Jobs!$A$2:$A$501,0)),""))</f>
        <v/>
      </c>
      <c r="C135" s="16"/>
      <c r="D135" s="17"/>
      <c r="E135" s="16"/>
      <c r="F135" s="16"/>
    </row>
    <row r="136" spans="1:6" x14ac:dyDescent="0.3">
      <c r="A136" s="16"/>
      <c r="B136" s="15" t="str">
        <f>IF($A136="","",IFERROR(INDEX(Jobs!$B$2:$B$501,MATCH($A136,Jobs!$A$2:$A$501,0)),""))</f>
        <v/>
      </c>
      <c r="C136" s="16"/>
      <c r="D136" s="17"/>
      <c r="E136" s="16"/>
      <c r="F136" s="16"/>
    </row>
    <row r="137" spans="1:6" x14ac:dyDescent="0.3">
      <c r="A137" s="16"/>
      <c r="B137" s="15" t="str">
        <f>IF($A137="","",IFERROR(INDEX(Jobs!$B$2:$B$501,MATCH($A137,Jobs!$A$2:$A$501,0)),""))</f>
        <v/>
      </c>
      <c r="C137" s="16"/>
      <c r="D137" s="17"/>
      <c r="E137" s="16"/>
      <c r="F137" s="16"/>
    </row>
    <row r="138" spans="1:6" x14ac:dyDescent="0.3">
      <c r="A138" s="16"/>
      <c r="B138" s="15" t="str">
        <f>IF($A138="","",IFERROR(INDEX(Jobs!$B$2:$B$501,MATCH($A138,Jobs!$A$2:$A$501,0)),""))</f>
        <v/>
      </c>
      <c r="C138" s="16"/>
      <c r="D138" s="17"/>
      <c r="E138" s="16"/>
      <c r="F138" s="16"/>
    </row>
    <row r="139" spans="1:6" x14ac:dyDescent="0.3">
      <c r="A139" s="16"/>
      <c r="B139" s="15" t="str">
        <f>IF($A139="","",IFERROR(INDEX(Jobs!$B$2:$B$501,MATCH($A139,Jobs!$A$2:$A$501,0)),""))</f>
        <v/>
      </c>
      <c r="C139" s="16"/>
      <c r="D139" s="17"/>
      <c r="E139" s="16"/>
      <c r="F139" s="16"/>
    </row>
    <row r="140" spans="1:6" x14ac:dyDescent="0.3">
      <c r="A140" s="16"/>
      <c r="B140" s="15" t="str">
        <f>IF($A140="","",IFERROR(INDEX(Jobs!$B$2:$B$501,MATCH($A140,Jobs!$A$2:$A$501,0)),""))</f>
        <v/>
      </c>
      <c r="C140" s="16"/>
      <c r="D140" s="17"/>
      <c r="E140" s="16"/>
      <c r="F140" s="16"/>
    </row>
    <row r="141" spans="1:6" x14ac:dyDescent="0.3">
      <c r="A141" s="16"/>
      <c r="B141" s="15" t="str">
        <f>IF($A141="","",IFERROR(INDEX(Jobs!$B$2:$B$501,MATCH($A141,Jobs!$A$2:$A$501,0)),""))</f>
        <v/>
      </c>
      <c r="C141" s="16"/>
      <c r="D141" s="17"/>
      <c r="E141" s="16"/>
      <c r="F141" s="16"/>
    </row>
    <row r="142" spans="1:6" x14ac:dyDescent="0.3">
      <c r="A142" s="16"/>
      <c r="B142" s="15" t="str">
        <f>IF($A142="","",IFERROR(INDEX(Jobs!$B$2:$B$501,MATCH($A142,Jobs!$A$2:$A$501,0)),""))</f>
        <v/>
      </c>
      <c r="C142" s="16"/>
      <c r="D142" s="17"/>
      <c r="E142" s="16"/>
      <c r="F142" s="16"/>
    </row>
    <row r="143" spans="1:6" x14ac:dyDescent="0.3">
      <c r="A143" s="16"/>
      <c r="B143" s="15" t="str">
        <f>IF($A143="","",IFERROR(INDEX(Jobs!$B$2:$B$501,MATCH($A143,Jobs!$A$2:$A$501,0)),""))</f>
        <v/>
      </c>
      <c r="C143" s="16"/>
      <c r="D143" s="17"/>
      <c r="E143" s="16"/>
      <c r="F143" s="16"/>
    </row>
    <row r="144" spans="1:6" x14ac:dyDescent="0.3">
      <c r="A144" s="16"/>
      <c r="B144" s="15" t="str">
        <f>IF($A144="","",IFERROR(INDEX(Jobs!$B$2:$B$501,MATCH($A144,Jobs!$A$2:$A$501,0)),""))</f>
        <v/>
      </c>
      <c r="C144" s="16"/>
      <c r="D144" s="17"/>
      <c r="E144" s="16"/>
      <c r="F144" s="16"/>
    </row>
    <row r="145" spans="1:6" x14ac:dyDescent="0.3">
      <c r="A145" s="16"/>
      <c r="B145" s="15" t="str">
        <f>IF($A145="","",IFERROR(INDEX(Jobs!$B$2:$B$501,MATCH($A145,Jobs!$A$2:$A$501,0)),""))</f>
        <v/>
      </c>
      <c r="C145" s="16"/>
      <c r="D145" s="17"/>
      <c r="E145" s="16"/>
      <c r="F145" s="16"/>
    </row>
    <row r="146" spans="1:6" x14ac:dyDescent="0.3">
      <c r="A146" s="16"/>
      <c r="B146" s="15" t="str">
        <f>IF($A146="","",IFERROR(INDEX(Jobs!$B$2:$B$501,MATCH($A146,Jobs!$A$2:$A$501,0)),""))</f>
        <v/>
      </c>
      <c r="C146" s="16"/>
      <c r="D146" s="17"/>
      <c r="E146" s="16"/>
      <c r="F146" s="16"/>
    </row>
    <row r="147" spans="1:6" x14ac:dyDescent="0.3">
      <c r="A147" s="16"/>
      <c r="B147" s="15" t="str">
        <f>IF($A147="","",IFERROR(INDEX(Jobs!$B$2:$B$501,MATCH($A147,Jobs!$A$2:$A$501,0)),""))</f>
        <v/>
      </c>
      <c r="C147" s="16"/>
      <c r="D147" s="17"/>
      <c r="E147" s="16"/>
      <c r="F147" s="16"/>
    </row>
    <row r="148" spans="1:6" x14ac:dyDescent="0.3">
      <c r="A148" s="16"/>
      <c r="B148" s="15" t="str">
        <f>IF($A148="","",IFERROR(INDEX(Jobs!$B$2:$B$501,MATCH($A148,Jobs!$A$2:$A$501,0)),""))</f>
        <v/>
      </c>
      <c r="C148" s="16"/>
      <c r="D148" s="17"/>
      <c r="E148" s="16"/>
      <c r="F148" s="16"/>
    </row>
    <row r="149" spans="1:6" x14ac:dyDescent="0.3">
      <c r="A149" s="16"/>
      <c r="B149" s="15" t="str">
        <f>IF($A149="","",IFERROR(INDEX(Jobs!$B$2:$B$501,MATCH($A149,Jobs!$A$2:$A$501,0)),""))</f>
        <v/>
      </c>
      <c r="C149" s="16"/>
      <c r="D149" s="17"/>
      <c r="E149" s="16"/>
      <c r="F149" s="16"/>
    </row>
    <row r="150" spans="1:6" x14ac:dyDescent="0.3">
      <c r="A150" s="16"/>
      <c r="B150" s="15" t="str">
        <f>IF($A150="","",IFERROR(INDEX(Jobs!$B$2:$B$501,MATCH($A150,Jobs!$A$2:$A$501,0)),""))</f>
        <v/>
      </c>
      <c r="C150" s="16"/>
      <c r="D150" s="17"/>
      <c r="E150" s="16"/>
      <c r="F150" s="16"/>
    </row>
    <row r="151" spans="1:6" x14ac:dyDescent="0.3">
      <c r="A151" s="16"/>
      <c r="B151" s="15" t="str">
        <f>IF($A151="","",IFERROR(INDEX(Jobs!$B$2:$B$501,MATCH($A151,Jobs!$A$2:$A$501,0)),""))</f>
        <v/>
      </c>
      <c r="C151" s="16"/>
      <c r="D151" s="17"/>
      <c r="E151" s="16"/>
      <c r="F151" s="16"/>
    </row>
    <row r="152" spans="1:6" x14ac:dyDescent="0.3">
      <c r="A152" s="16"/>
      <c r="B152" s="15" t="str">
        <f>IF($A152="","",IFERROR(INDEX(Jobs!$B$2:$B$501,MATCH($A152,Jobs!$A$2:$A$501,0)),""))</f>
        <v/>
      </c>
      <c r="C152" s="16"/>
      <c r="D152" s="17"/>
      <c r="E152" s="16"/>
      <c r="F152" s="16"/>
    </row>
    <row r="153" spans="1:6" x14ac:dyDescent="0.3">
      <c r="A153" s="16"/>
      <c r="B153" s="15" t="str">
        <f>IF($A153="","",IFERROR(INDEX(Jobs!$B$2:$B$501,MATCH($A153,Jobs!$A$2:$A$501,0)),""))</f>
        <v/>
      </c>
      <c r="C153" s="16"/>
      <c r="D153" s="17"/>
      <c r="E153" s="16"/>
      <c r="F153" s="16"/>
    </row>
    <row r="154" spans="1:6" x14ac:dyDescent="0.3">
      <c r="A154" s="16"/>
      <c r="B154" s="15" t="str">
        <f>IF($A154="","",IFERROR(INDEX(Jobs!$B$2:$B$501,MATCH($A154,Jobs!$A$2:$A$501,0)),""))</f>
        <v/>
      </c>
      <c r="C154" s="16"/>
      <c r="D154" s="17"/>
      <c r="E154" s="16"/>
      <c r="F154" s="16"/>
    </row>
    <row r="155" spans="1:6" x14ac:dyDescent="0.3">
      <c r="A155" s="16"/>
      <c r="B155" s="15" t="str">
        <f>IF($A155="","",IFERROR(INDEX(Jobs!$B$2:$B$501,MATCH($A155,Jobs!$A$2:$A$501,0)),""))</f>
        <v/>
      </c>
      <c r="C155" s="16"/>
      <c r="D155" s="17"/>
      <c r="E155" s="16"/>
      <c r="F155" s="16"/>
    </row>
    <row r="156" spans="1:6" x14ac:dyDescent="0.3">
      <c r="A156" s="16"/>
      <c r="B156" s="15" t="str">
        <f>IF($A156="","",IFERROR(INDEX(Jobs!$B$2:$B$501,MATCH($A156,Jobs!$A$2:$A$501,0)),""))</f>
        <v/>
      </c>
      <c r="C156" s="16"/>
      <c r="D156" s="17"/>
      <c r="E156" s="16"/>
      <c r="F156" s="16"/>
    </row>
    <row r="157" spans="1:6" x14ac:dyDescent="0.3">
      <c r="A157" s="16"/>
      <c r="B157" s="15" t="str">
        <f>IF($A157="","",IFERROR(INDEX(Jobs!$B$2:$B$501,MATCH($A157,Jobs!$A$2:$A$501,0)),""))</f>
        <v/>
      </c>
      <c r="C157" s="16"/>
      <c r="D157" s="17"/>
      <c r="E157" s="16"/>
      <c r="F157" s="16"/>
    </row>
    <row r="158" spans="1:6" x14ac:dyDescent="0.3">
      <c r="A158" s="16"/>
      <c r="B158" s="15" t="str">
        <f>IF($A158="","",IFERROR(INDEX(Jobs!$B$2:$B$501,MATCH($A158,Jobs!$A$2:$A$501,0)),""))</f>
        <v/>
      </c>
      <c r="C158" s="16"/>
      <c r="D158" s="17"/>
      <c r="E158" s="16"/>
      <c r="F158" s="16"/>
    </row>
    <row r="159" spans="1:6" x14ac:dyDescent="0.3">
      <c r="A159" s="16"/>
      <c r="B159" s="15" t="str">
        <f>IF($A159="","",IFERROR(INDEX(Jobs!$B$2:$B$501,MATCH($A159,Jobs!$A$2:$A$501,0)),""))</f>
        <v/>
      </c>
      <c r="C159" s="16"/>
      <c r="D159" s="17"/>
      <c r="E159" s="16"/>
      <c r="F159" s="16"/>
    </row>
    <row r="160" spans="1:6" x14ac:dyDescent="0.3">
      <c r="A160" s="16"/>
      <c r="B160" s="15" t="str">
        <f>IF($A160="","",IFERROR(INDEX(Jobs!$B$2:$B$501,MATCH($A160,Jobs!$A$2:$A$501,0)),""))</f>
        <v/>
      </c>
      <c r="C160" s="16"/>
      <c r="D160" s="17"/>
      <c r="E160" s="16"/>
      <c r="F160" s="16"/>
    </row>
    <row r="161" spans="1:6" x14ac:dyDescent="0.3">
      <c r="A161" s="16"/>
      <c r="B161" s="15" t="str">
        <f>IF($A161="","",IFERROR(INDEX(Jobs!$B$2:$B$501,MATCH($A161,Jobs!$A$2:$A$501,0)),""))</f>
        <v/>
      </c>
      <c r="C161" s="16"/>
      <c r="D161" s="17"/>
      <c r="E161" s="16"/>
      <c r="F161" s="16"/>
    </row>
    <row r="162" spans="1:6" x14ac:dyDescent="0.3">
      <c r="A162" s="16"/>
      <c r="B162" s="15" t="str">
        <f>IF($A162="","",IFERROR(INDEX(Jobs!$B$2:$B$501,MATCH($A162,Jobs!$A$2:$A$501,0)),""))</f>
        <v/>
      </c>
      <c r="C162" s="16"/>
      <c r="D162" s="17"/>
      <c r="E162" s="16"/>
      <c r="F162" s="16"/>
    </row>
    <row r="163" spans="1:6" x14ac:dyDescent="0.3">
      <c r="A163" s="16"/>
      <c r="B163" s="15" t="str">
        <f>IF($A163="","",IFERROR(INDEX(Jobs!$B$2:$B$501,MATCH($A163,Jobs!$A$2:$A$501,0)),""))</f>
        <v/>
      </c>
      <c r="C163" s="16"/>
      <c r="D163" s="17"/>
      <c r="E163" s="16"/>
      <c r="F163" s="16"/>
    </row>
    <row r="164" spans="1:6" x14ac:dyDescent="0.3">
      <c r="A164" s="16"/>
      <c r="B164" s="15" t="str">
        <f>IF($A164="","",IFERROR(INDEX(Jobs!$B$2:$B$501,MATCH($A164,Jobs!$A$2:$A$501,0)),""))</f>
        <v/>
      </c>
      <c r="C164" s="16"/>
      <c r="D164" s="17"/>
      <c r="E164" s="16"/>
      <c r="F164" s="16"/>
    </row>
    <row r="165" spans="1:6" x14ac:dyDescent="0.3">
      <c r="A165" s="16"/>
      <c r="B165" s="15" t="str">
        <f>IF($A165="","",IFERROR(INDEX(Jobs!$B$2:$B$501,MATCH($A165,Jobs!$A$2:$A$501,0)),""))</f>
        <v/>
      </c>
      <c r="C165" s="16"/>
      <c r="D165" s="17"/>
      <c r="E165" s="16"/>
      <c r="F165" s="16"/>
    </row>
    <row r="166" spans="1:6" x14ac:dyDescent="0.3">
      <c r="A166" s="16"/>
      <c r="B166" s="15" t="str">
        <f>IF($A166="","",IFERROR(INDEX(Jobs!$B$2:$B$501,MATCH($A166,Jobs!$A$2:$A$501,0)),""))</f>
        <v/>
      </c>
      <c r="C166" s="16"/>
      <c r="D166" s="17"/>
      <c r="E166" s="16"/>
      <c r="F166" s="16"/>
    </row>
    <row r="167" spans="1:6" x14ac:dyDescent="0.3">
      <c r="A167" s="16"/>
      <c r="B167" s="15" t="str">
        <f>IF($A167="","",IFERROR(INDEX(Jobs!$B$2:$B$501,MATCH($A167,Jobs!$A$2:$A$501,0)),""))</f>
        <v/>
      </c>
      <c r="C167" s="16"/>
      <c r="D167" s="17"/>
      <c r="E167" s="16"/>
      <c r="F167" s="16"/>
    </row>
    <row r="168" spans="1:6" x14ac:dyDescent="0.3">
      <c r="A168" s="16"/>
      <c r="B168" s="15" t="str">
        <f>IF($A168="","",IFERROR(INDEX(Jobs!$B$2:$B$501,MATCH($A168,Jobs!$A$2:$A$501,0)),""))</f>
        <v/>
      </c>
      <c r="C168" s="16"/>
      <c r="D168" s="17"/>
      <c r="E168" s="16"/>
      <c r="F168" s="16"/>
    </row>
    <row r="169" spans="1:6" x14ac:dyDescent="0.3">
      <c r="A169" s="16"/>
      <c r="B169" s="15" t="str">
        <f>IF($A169="","",IFERROR(INDEX(Jobs!$B$2:$B$501,MATCH($A169,Jobs!$A$2:$A$501,0)),""))</f>
        <v/>
      </c>
      <c r="C169" s="16"/>
      <c r="D169" s="17"/>
      <c r="E169" s="16"/>
      <c r="F169" s="16"/>
    </row>
    <row r="170" spans="1:6" x14ac:dyDescent="0.3">
      <c r="A170" s="16"/>
      <c r="B170" s="15" t="str">
        <f>IF($A170="","",IFERROR(INDEX(Jobs!$B$2:$B$501,MATCH($A170,Jobs!$A$2:$A$501,0)),""))</f>
        <v/>
      </c>
      <c r="C170" s="16"/>
      <c r="D170" s="17"/>
      <c r="E170" s="16"/>
      <c r="F170" s="16"/>
    </row>
    <row r="171" spans="1:6" x14ac:dyDescent="0.3">
      <c r="A171" s="16"/>
      <c r="B171" s="15" t="str">
        <f>IF($A171="","",IFERROR(INDEX(Jobs!$B$2:$B$501,MATCH($A171,Jobs!$A$2:$A$501,0)),""))</f>
        <v/>
      </c>
      <c r="C171" s="16"/>
      <c r="D171" s="17"/>
      <c r="E171" s="16"/>
      <c r="F171" s="16"/>
    </row>
    <row r="172" spans="1:6" x14ac:dyDescent="0.3">
      <c r="A172" s="16"/>
      <c r="B172" s="15" t="str">
        <f>IF($A172="","",IFERROR(INDEX(Jobs!$B$2:$B$501,MATCH($A172,Jobs!$A$2:$A$501,0)),""))</f>
        <v/>
      </c>
      <c r="C172" s="16"/>
      <c r="D172" s="17"/>
      <c r="E172" s="16"/>
      <c r="F172" s="16"/>
    </row>
    <row r="173" spans="1:6" x14ac:dyDescent="0.3">
      <c r="A173" s="16"/>
      <c r="B173" s="15" t="str">
        <f>IF($A173="","",IFERROR(INDEX(Jobs!$B$2:$B$501,MATCH($A173,Jobs!$A$2:$A$501,0)),""))</f>
        <v/>
      </c>
      <c r="C173" s="16"/>
      <c r="D173" s="17"/>
      <c r="E173" s="16"/>
      <c r="F173" s="16"/>
    </row>
    <row r="174" spans="1:6" x14ac:dyDescent="0.3">
      <c r="A174" s="16"/>
      <c r="B174" s="15" t="str">
        <f>IF($A174="","",IFERROR(INDEX(Jobs!$B$2:$B$501,MATCH($A174,Jobs!$A$2:$A$501,0)),""))</f>
        <v/>
      </c>
      <c r="C174" s="16"/>
      <c r="D174" s="17"/>
      <c r="E174" s="16"/>
      <c r="F174" s="16"/>
    </row>
    <row r="175" spans="1:6" x14ac:dyDescent="0.3">
      <c r="A175" s="16"/>
      <c r="B175" s="15" t="str">
        <f>IF($A175="","",IFERROR(INDEX(Jobs!$B$2:$B$501,MATCH($A175,Jobs!$A$2:$A$501,0)),""))</f>
        <v/>
      </c>
      <c r="C175" s="16"/>
      <c r="D175" s="17"/>
      <c r="E175" s="16"/>
      <c r="F175" s="16"/>
    </row>
    <row r="176" spans="1:6" x14ac:dyDescent="0.3">
      <c r="A176" s="16"/>
      <c r="B176" s="15" t="str">
        <f>IF($A176="","",IFERROR(INDEX(Jobs!$B$2:$B$501,MATCH($A176,Jobs!$A$2:$A$501,0)),""))</f>
        <v/>
      </c>
      <c r="C176" s="16"/>
      <c r="D176" s="17"/>
      <c r="E176" s="16"/>
      <c r="F176" s="16"/>
    </row>
    <row r="177" spans="1:6" x14ac:dyDescent="0.3">
      <c r="A177" s="16"/>
      <c r="B177" s="15" t="str">
        <f>IF($A177="","",IFERROR(INDEX(Jobs!$B$2:$B$501,MATCH($A177,Jobs!$A$2:$A$501,0)),""))</f>
        <v/>
      </c>
      <c r="C177" s="16"/>
      <c r="D177" s="17"/>
      <c r="E177" s="16"/>
      <c r="F177" s="16"/>
    </row>
    <row r="178" spans="1:6" x14ac:dyDescent="0.3">
      <c r="A178" s="16"/>
      <c r="B178" s="15" t="str">
        <f>IF($A178="","",IFERROR(INDEX(Jobs!$B$2:$B$501,MATCH($A178,Jobs!$A$2:$A$501,0)),""))</f>
        <v/>
      </c>
      <c r="C178" s="16"/>
      <c r="D178" s="17"/>
      <c r="E178" s="16"/>
      <c r="F178" s="16"/>
    </row>
    <row r="179" spans="1:6" x14ac:dyDescent="0.3">
      <c r="A179" s="16"/>
      <c r="B179" s="15" t="str">
        <f>IF($A179="","",IFERROR(INDEX(Jobs!$B$2:$B$501,MATCH($A179,Jobs!$A$2:$A$501,0)),""))</f>
        <v/>
      </c>
      <c r="C179" s="16"/>
      <c r="D179" s="17"/>
      <c r="E179" s="16"/>
      <c r="F179" s="16"/>
    </row>
    <row r="180" spans="1:6" x14ac:dyDescent="0.3">
      <c r="A180" s="16"/>
      <c r="B180" s="15" t="str">
        <f>IF($A180="","",IFERROR(INDEX(Jobs!$B$2:$B$501,MATCH($A180,Jobs!$A$2:$A$501,0)),""))</f>
        <v/>
      </c>
      <c r="C180" s="16"/>
      <c r="D180" s="17"/>
      <c r="E180" s="16"/>
      <c r="F180" s="16"/>
    </row>
    <row r="181" spans="1:6" x14ac:dyDescent="0.3">
      <c r="A181" s="16"/>
      <c r="B181" s="15" t="str">
        <f>IF($A181="","",IFERROR(INDEX(Jobs!$B$2:$B$501,MATCH($A181,Jobs!$A$2:$A$501,0)),""))</f>
        <v/>
      </c>
      <c r="C181" s="16"/>
      <c r="D181" s="17"/>
      <c r="E181" s="16"/>
      <c r="F181" s="16"/>
    </row>
    <row r="182" spans="1:6" x14ac:dyDescent="0.3">
      <c r="A182" s="16"/>
      <c r="B182" s="15" t="str">
        <f>IF($A182="","",IFERROR(INDEX(Jobs!$B$2:$B$501,MATCH($A182,Jobs!$A$2:$A$501,0)),""))</f>
        <v/>
      </c>
      <c r="C182" s="16"/>
      <c r="D182" s="17"/>
      <c r="E182" s="16"/>
      <c r="F182" s="16"/>
    </row>
    <row r="183" spans="1:6" x14ac:dyDescent="0.3">
      <c r="A183" s="16"/>
      <c r="B183" s="15" t="str">
        <f>IF($A183="","",IFERROR(INDEX(Jobs!$B$2:$B$501,MATCH($A183,Jobs!$A$2:$A$501,0)),""))</f>
        <v/>
      </c>
      <c r="C183" s="16"/>
      <c r="D183" s="17"/>
      <c r="E183" s="16"/>
      <c r="F183" s="16"/>
    </row>
    <row r="184" spans="1:6" x14ac:dyDescent="0.3">
      <c r="A184" s="16"/>
      <c r="B184" s="15" t="str">
        <f>IF($A184="","",IFERROR(INDEX(Jobs!$B$2:$B$501,MATCH($A184,Jobs!$A$2:$A$501,0)),""))</f>
        <v/>
      </c>
      <c r="C184" s="16"/>
      <c r="D184" s="17"/>
      <c r="E184" s="16"/>
      <c r="F184" s="16"/>
    </row>
    <row r="185" spans="1:6" x14ac:dyDescent="0.3">
      <c r="A185" s="16"/>
      <c r="B185" s="15" t="str">
        <f>IF($A185="","",IFERROR(INDEX(Jobs!$B$2:$B$501,MATCH($A185,Jobs!$A$2:$A$501,0)),""))</f>
        <v/>
      </c>
      <c r="C185" s="16"/>
      <c r="D185" s="17"/>
      <c r="E185" s="16"/>
      <c r="F185" s="16"/>
    </row>
    <row r="186" spans="1:6" x14ac:dyDescent="0.3">
      <c r="A186" s="16"/>
      <c r="B186" s="15" t="str">
        <f>IF($A186="","",IFERROR(INDEX(Jobs!$B$2:$B$501,MATCH($A186,Jobs!$A$2:$A$501,0)),""))</f>
        <v/>
      </c>
      <c r="C186" s="16"/>
      <c r="D186" s="17"/>
      <c r="E186" s="16"/>
      <c r="F186" s="16"/>
    </row>
    <row r="187" spans="1:6" x14ac:dyDescent="0.3">
      <c r="A187" s="16"/>
      <c r="B187" s="15" t="str">
        <f>IF($A187="","",IFERROR(INDEX(Jobs!$B$2:$B$501,MATCH($A187,Jobs!$A$2:$A$501,0)),""))</f>
        <v/>
      </c>
      <c r="C187" s="16"/>
      <c r="D187" s="17"/>
      <c r="E187" s="16"/>
      <c r="F187" s="16"/>
    </row>
    <row r="188" spans="1:6" x14ac:dyDescent="0.3">
      <c r="A188" s="16"/>
      <c r="B188" s="15" t="str">
        <f>IF($A188="","",IFERROR(INDEX(Jobs!$B$2:$B$501,MATCH($A188,Jobs!$A$2:$A$501,0)),""))</f>
        <v/>
      </c>
      <c r="C188" s="16"/>
      <c r="D188" s="17"/>
      <c r="E188" s="16"/>
      <c r="F188" s="16"/>
    </row>
    <row r="189" spans="1:6" x14ac:dyDescent="0.3">
      <c r="A189" s="16"/>
      <c r="B189" s="15" t="str">
        <f>IF($A189="","",IFERROR(INDEX(Jobs!$B$2:$B$501,MATCH($A189,Jobs!$A$2:$A$501,0)),""))</f>
        <v/>
      </c>
      <c r="C189" s="16"/>
      <c r="D189" s="17"/>
      <c r="E189" s="16"/>
      <c r="F189" s="16"/>
    </row>
    <row r="190" spans="1:6" x14ac:dyDescent="0.3">
      <c r="A190" s="16"/>
      <c r="B190" s="15" t="str">
        <f>IF($A190="","",IFERROR(INDEX(Jobs!$B$2:$B$501,MATCH($A190,Jobs!$A$2:$A$501,0)),""))</f>
        <v/>
      </c>
      <c r="C190" s="16"/>
      <c r="D190" s="17"/>
      <c r="E190" s="16"/>
      <c r="F190" s="16"/>
    </row>
    <row r="191" spans="1:6" x14ac:dyDescent="0.3">
      <c r="A191" s="16"/>
      <c r="B191" s="15" t="str">
        <f>IF($A191="","",IFERROR(INDEX(Jobs!$B$2:$B$501,MATCH($A191,Jobs!$A$2:$A$501,0)),""))</f>
        <v/>
      </c>
      <c r="C191" s="16"/>
      <c r="D191" s="17"/>
      <c r="E191" s="16"/>
      <c r="F191" s="16"/>
    </row>
    <row r="192" spans="1:6" x14ac:dyDescent="0.3">
      <c r="A192" s="16"/>
      <c r="B192" s="15" t="str">
        <f>IF($A192="","",IFERROR(INDEX(Jobs!$B$2:$B$501,MATCH($A192,Jobs!$A$2:$A$501,0)),""))</f>
        <v/>
      </c>
      <c r="C192" s="16"/>
      <c r="D192" s="17"/>
      <c r="E192" s="16"/>
      <c r="F192" s="16"/>
    </row>
    <row r="193" spans="1:6" x14ac:dyDescent="0.3">
      <c r="A193" s="16"/>
      <c r="B193" s="15" t="str">
        <f>IF($A193="","",IFERROR(INDEX(Jobs!$B$2:$B$501,MATCH($A193,Jobs!$A$2:$A$501,0)),""))</f>
        <v/>
      </c>
      <c r="C193" s="16"/>
      <c r="D193" s="17"/>
      <c r="E193" s="16"/>
      <c r="F193" s="16"/>
    </row>
    <row r="194" spans="1:6" x14ac:dyDescent="0.3">
      <c r="A194" s="16"/>
      <c r="B194" s="15" t="str">
        <f>IF($A194="","",IFERROR(INDEX(Jobs!$B$2:$B$501,MATCH($A194,Jobs!$A$2:$A$501,0)),""))</f>
        <v/>
      </c>
      <c r="C194" s="16"/>
      <c r="D194" s="17"/>
      <c r="E194" s="16"/>
      <c r="F194" s="16"/>
    </row>
    <row r="195" spans="1:6" x14ac:dyDescent="0.3">
      <c r="A195" s="16"/>
      <c r="B195" s="15" t="str">
        <f>IF($A195="","",IFERROR(INDEX(Jobs!$B$2:$B$501,MATCH($A195,Jobs!$A$2:$A$501,0)),""))</f>
        <v/>
      </c>
      <c r="C195" s="16"/>
      <c r="D195" s="17"/>
      <c r="E195" s="16"/>
      <c r="F195" s="16"/>
    </row>
    <row r="196" spans="1:6" x14ac:dyDescent="0.3">
      <c r="A196" s="16"/>
      <c r="B196" s="15" t="str">
        <f>IF($A196="","",IFERROR(INDEX(Jobs!$B$2:$B$501,MATCH($A196,Jobs!$A$2:$A$501,0)),""))</f>
        <v/>
      </c>
      <c r="C196" s="16"/>
      <c r="D196" s="17"/>
      <c r="E196" s="16"/>
      <c r="F196" s="16"/>
    </row>
    <row r="197" spans="1:6" x14ac:dyDescent="0.3">
      <c r="A197" s="16"/>
      <c r="B197" s="15" t="str">
        <f>IF($A197="","",IFERROR(INDEX(Jobs!$B$2:$B$501,MATCH($A197,Jobs!$A$2:$A$501,0)),""))</f>
        <v/>
      </c>
      <c r="C197" s="16"/>
      <c r="D197" s="17"/>
      <c r="E197" s="16"/>
      <c r="F197" s="16"/>
    </row>
    <row r="198" spans="1:6" x14ac:dyDescent="0.3">
      <c r="A198" s="16"/>
      <c r="B198" s="15" t="str">
        <f>IF($A198="","",IFERROR(INDEX(Jobs!$B$2:$B$501,MATCH($A198,Jobs!$A$2:$A$501,0)),""))</f>
        <v/>
      </c>
      <c r="C198" s="16"/>
      <c r="D198" s="17"/>
      <c r="E198" s="16"/>
      <c r="F198" s="16"/>
    </row>
    <row r="199" spans="1:6" x14ac:dyDescent="0.3">
      <c r="A199" s="16"/>
      <c r="B199" s="15" t="str">
        <f>IF($A199="","",IFERROR(INDEX(Jobs!$B$2:$B$501,MATCH($A199,Jobs!$A$2:$A$501,0)),""))</f>
        <v/>
      </c>
      <c r="C199" s="16"/>
      <c r="D199" s="17"/>
      <c r="E199" s="16"/>
      <c r="F199" s="16"/>
    </row>
    <row r="200" spans="1:6" x14ac:dyDescent="0.3">
      <c r="A200" s="16"/>
      <c r="B200" s="15" t="str">
        <f>IF($A200="","",IFERROR(INDEX(Jobs!$B$2:$B$501,MATCH($A200,Jobs!$A$2:$A$501,0)),""))</f>
        <v/>
      </c>
      <c r="C200" s="16"/>
      <c r="D200" s="17"/>
      <c r="E200" s="16"/>
      <c r="F200" s="16"/>
    </row>
    <row r="201" spans="1:6" x14ac:dyDescent="0.3">
      <c r="A201" s="16"/>
      <c r="B201" s="15" t="str">
        <f>IF($A201="","",IFERROR(INDEX(Jobs!$B$2:$B$501,MATCH($A201,Jobs!$A$2:$A$501,0)),""))</f>
        <v/>
      </c>
      <c r="C201" s="16"/>
      <c r="D201" s="17"/>
      <c r="E201" s="16"/>
      <c r="F201" s="16"/>
    </row>
    <row r="202" spans="1:6" x14ac:dyDescent="0.3">
      <c r="A202" s="16"/>
      <c r="B202" s="15" t="str">
        <f>IF($A202="","",IFERROR(INDEX(Jobs!$B$2:$B$501,MATCH($A202,Jobs!$A$2:$A$501,0)),""))</f>
        <v/>
      </c>
      <c r="C202" s="16"/>
      <c r="D202" s="17"/>
      <c r="E202" s="16"/>
      <c r="F202" s="16"/>
    </row>
    <row r="203" spans="1:6" x14ac:dyDescent="0.3">
      <c r="A203" s="16"/>
      <c r="B203" s="15" t="str">
        <f>IF($A203="","",IFERROR(INDEX(Jobs!$B$2:$B$501,MATCH($A203,Jobs!$A$2:$A$501,0)),""))</f>
        <v/>
      </c>
      <c r="C203" s="16"/>
      <c r="D203" s="17"/>
      <c r="E203" s="16"/>
      <c r="F203" s="16"/>
    </row>
    <row r="204" spans="1:6" x14ac:dyDescent="0.3">
      <c r="A204" s="16"/>
      <c r="B204" s="15" t="str">
        <f>IF($A204="","",IFERROR(INDEX(Jobs!$B$2:$B$501,MATCH($A204,Jobs!$A$2:$A$501,0)),""))</f>
        <v/>
      </c>
      <c r="C204" s="16"/>
      <c r="D204" s="17"/>
      <c r="E204" s="16"/>
      <c r="F204" s="16"/>
    </row>
    <row r="205" spans="1:6" x14ac:dyDescent="0.3">
      <c r="A205" s="16"/>
      <c r="B205" s="15" t="str">
        <f>IF($A205="","",IFERROR(INDEX(Jobs!$B$2:$B$501,MATCH($A205,Jobs!$A$2:$A$501,0)),""))</f>
        <v/>
      </c>
      <c r="C205" s="16"/>
      <c r="D205" s="17"/>
      <c r="E205" s="16"/>
      <c r="F205" s="16"/>
    </row>
    <row r="206" spans="1:6" x14ac:dyDescent="0.3">
      <c r="A206" s="16"/>
      <c r="B206" s="15" t="str">
        <f>IF($A206="","",IFERROR(INDEX(Jobs!$B$2:$B$501,MATCH($A206,Jobs!$A$2:$A$501,0)),""))</f>
        <v/>
      </c>
      <c r="C206" s="16"/>
      <c r="D206" s="17"/>
      <c r="E206" s="16"/>
      <c r="F206" s="16"/>
    </row>
    <row r="207" spans="1:6" x14ac:dyDescent="0.3">
      <c r="A207" s="16"/>
      <c r="B207" s="15" t="str">
        <f>IF($A207="","",IFERROR(INDEX(Jobs!$B$2:$B$501,MATCH($A207,Jobs!$A$2:$A$501,0)),""))</f>
        <v/>
      </c>
      <c r="C207" s="16"/>
      <c r="D207" s="17"/>
      <c r="E207" s="16"/>
      <c r="F207" s="16"/>
    </row>
    <row r="208" spans="1:6" x14ac:dyDescent="0.3">
      <c r="A208" s="16"/>
      <c r="B208" s="15" t="str">
        <f>IF($A208="","",IFERROR(INDEX(Jobs!$B$2:$B$501,MATCH($A208,Jobs!$A$2:$A$501,0)),""))</f>
        <v/>
      </c>
      <c r="C208" s="16"/>
      <c r="D208" s="17"/>
      <c r="E208" s="16"/>
      <c r="F208" s="16"/>
    </row>
    <row r="209" spans="1:6" x14ac:dyDescent="0.3">
      <c r="A209" s="16"/>
      <c r="B209" s="15" t="str">
        <f>IF($A209="","",IFERROR(INDEX(Jobs!$B$2:$B$501,MATCH($A209,Jobs!$A$2:$A$501,0)),""))</f>
        <v/>
      </c>
      <c r="C209" s="16"/>
      <c r="D209" s="17"/>
      <c r="E209" s="16"/>
      <c r="F209" s="16"/>
    </row>
    <row r="210" spans="1:6" x14ac:dyDescent="0.3">
      <c r="A210" s="16"/>
      <c r="B210" s="15" t="str">
        <f>IF($A210="","",IFERROR(INDEX(Jobs!$B$2:$B$501,MATCH($A210,Jobs!$A$2:$A$501,0)),""))</f>
        <v/>
      </c>
      <c r="C210" s="16"/>
      <c r="D210" s="17"/>
      <c r="E210" s="16"/>
      <c r="F210" s="16"/>
    </row>
    <row r="211" spans="1:6" x14ac:dyDescent="0.3">
      <c r="A211" s="16"/>
      <c r="B211" s="15" t="str">
        <f>IF($A211="","",IFERROR(INDEX(Jobs!$B$2:$B$501,MATCH($A211,Jobs!$A$2:$A$501,0)),""))</f>
        <v/>
      </c>
      <c r="C211" s="16"/>
      <c r="D211" s="17"/>
      <c r="E211" s="16"/>
      <c r="F211" s="16"/>
    </row>
    <row r="212" spans="1:6" x14ac:dyDescent="0.3">
      <c r="A212" s="16"/>
      <c r="B212" s="15" t="str">
        <f>IF($A212="","",IFERROR(INDEX(Jobs!$B$2:$B$501,MATCH($A212,Jobs!$A$2:$A$501,0)),""))</f>
        <v/>
      </c>
      <c r="C212" s="16"/>
      <c r="D212" s="17"/>
      <c r="E212" s="16"/>
      <c r="F212" s="16"/>
    </row>
    <row r="213" spans="1:6" x14ac:dyDescent="0.3">
      <c r="A213" s="16"/>
      <c r="B213" s="15" t="str">
        <f>IF($A213="","",IFERROR(INDEX(Jobs!$B$2:$B$501,MATCH($A213,Jobs!$A$2:$A$501,0)),""))</f>
        <v/>
      </c>
      <c r="C213" s="16"/>
      <c r="D213" s="17"/>
      <c r="E213" s="16"/>
      <c r="F213" s="16"/>
    </row>
    <row r="214" spans="1:6" x14ac:dyDescent="0.3">
      <c r="A214" s="16"/>
      <c r="B214" s="15" t="str">
        <f>IF($A214="","",IFERROR(INDEX(Jobs!$B$2:$B$501,MATCH($A214,Jobs!$A$2:$A$501,0)),""))</f>
        <v/>
      </c>
      <c r="C214" s="16"/>
      <c r="D214" s="17"/>
      <c r="E214" s="16"/>
      <c r="F214" s="16"/>
    </row>
    <row r="215" spans="1:6" x14ac:dyDescent="0.3">
      <c r="A215" s="16"/>
      <c r="B215" s="15" t="str">
        <f>IF($A215="","",IFERROR(INDEX(Jobs!$B$2:$B$501,MATCH($A215,Jobs!$A$2:$A$501,0)),""))</f>
        <v/>
      </c>
      <c r="C215" s="16"/>
      <c r="D215" s="17"/>
      <c r="E215" s="16"/>
      <c r="F215" s="16"/>
    </row>
    <row r="216" spans="1:6" x14ac:dyDescent="0.3">
      <c r="A216" s="16"/>
      <c r="B216" s="15" t="str">
        <f>IF($A216="","",IFERROR(INDEX(Jobs!$B$2:$B$501,MATCH($A216,Jobs!$A$2:$A$501,0)),""))</f>
        <v/>
      </c>
      <c r="C216" s="16"/>
      <c r="D216" s="17"/>
      <c r="E216" s="16"/>
      <c r="F216" s="16"/>
    </row>
    <row r="217" spans="1:6" x14ac:dyDescent="0.3">
      <c r="A217" s="16"/>
      <c r="B217" s="15" t="str">
        <f>IF($A217="","",IFERROR(INDEX(Jobs!$B$2:$B$501,MATCH($A217,Jobs!$A$2:$A$501,0)),""))</f>
        <v/>
      </c>
      <c r="C217" s="16"/>
      <c r="D217" s="17"/>
      <c r="E217" s="16"/>
      <c r="F217" s="16"/>
    </row>
    <row r="218" spans="1:6" x14ac:dyDescent="0.3">
      <c r="A218" s="16"/>
      <c r="B218" s="15" t="str">
        <f>IF($A218="","",IFERROR(INDEX(Jobs!$B$2:$B$501,MATCH($A218,Jobs!$A$2:$A$501,0)),""))</f>
        <v/>
      </c>
      <c r="C218" s="16"/>
      <c r="D218" s="17"/>
      <c r="E218" s="16"/>
      <c r="F218" s="16"/>
    </row>
    <row r="219" spans="1:6" x14ac:dyDescent="0.3">
      <c r="A219" s="16"/>
      <c r="B219" s="15" t="str">
        <f>IF($A219="","",IFERROR(INDEX(Jobs!$B$2:$B$501,MATCH($A219,Jobs!$A$2:$A$501,0)),""))</f>
        <v/>
      </c>
      <c r="C219" s="16"/>
      <c r="D219" s="17"/>
      <c r="E219" s="16"/>
      <c r="F219" s="16"/>
    </row>
    <row r="220" spans="1:6" x14ac:dyDescent="0.3">
      <c r="A220" s="16"/>
      <c r="B220" s="15" t="str">
        <f>IF($A220="","",IFERROR(INDEX(Jobs!$B$2:$B$501,MATCH($A220,Jobs!$A$2:$A$501,0)),""))</f>
        <v/>
      </c>
      <c r="C220" s="16"/>
      <c r="D220" s="17"/>
      <c r="E220" s="16"/>
      <c r="F220" s="16"/>
    </row>
    <row r="221" spans="1:6" x14ac:dyDescent="0.3">
      <c r="A221" s="16"/>
      <c r="B221" s="15" t="str">
        <f>IF($A221="","",IFERROR(INDEX(Jobs!$B$2:$B$501,MATCH($A221,Jobs!$A$2:$A$501,0)),""))</f>
        <v/>
      </c>
      <c r="C221" s="16"/>
      <c r="D221" s="17"/>
      <c r="E221" s="16"/>
      <c r="F221" s="16"/>
    </row>
    <row r="222" spans="1:6" x14ac:dyDescent="0.3">
      <c r="A222" s="16"/>
      <c r="B222" s="15" t="str">
        <f>IF($A222="","",IFERROR(INDEX(Jobs!$B$2:$B$501,MATCH($A222,Jobs!$A$2:$A$501,0)),""))</f>
        <v/>
      </c>
      <c r="C222" s="16"/>
      <c r="D222" s="17"/>
      <c r="E222" s="16"/>
      <c r="F222" s="16"/>
    </row>
    <row r="223" spans="1:6" x14ac:dyDescent="0.3">
      <c r="A223" s="16"/>
      <c r="B223" s="15" t="str">
        <f>IF($A223="","",IFERROR(INDEX(Jobs!$B$2:$B$501,MATCH($A223,Jobs!$A$2:$A$501,0)),""))</f>
        <v/>
      </c>
      <c r="C223" s="16"/>
      <c r="D223" s="17"/>
      <c r="E223" s="16"/>
      <c r="F223" s="16"/>
    </row>
    <row r="224" spans="1:6" x14ac:dyDescent="0.3">
      <c r="A224" s="16"/>
      <c r="B224" s="15" t="str">
        <f>IF($A224="","",IFERROR(INDEX(Jobs!$B$2:$B$501,MATCH($A224,Jobs!$A$2:$A$501,0)),""))</f>
        <v/>
      </c>
      <c r="C224" s="16"/>
      <c r="D224" s="17"/>
      <c r="E224" s="16"/>
      <c r="F224" s="16"/>
    </row>
    <row r="225" spans="1:6" x14ac:dyDescent="0.3">
      <c r="A225" s="16"/>
      <c r="B225" s="15" t="str">
        <f>IF($A225="","",IFERROR(INDEX(Jobs!$B$2:$B$501,MATCH($A225,Jobs!$A$2:$A$501,0)),""))</f>
        <v/>
      </c>
      <c r="C225" s="16"/>
      <c r="D225" s="17"/>
      <c r="E225" s="16"/>
      <c r="F225" s="16"/>
    </row>
    <row r="226" spans="1:6" x14ac:dyDescent="0.3">
      <c r="A226" s="16"/>
      <c r="B226" s="15" t="str">
        <f>IF($A226="","",IFERROR(INDEX(Jobs!$B$2:$B$501,MATCH($A226,Jobs!$A$2:$A$501,0)),""))</f>
        <v/>
      </c>
      <c r="C226" s="16"/>
      <c r="D226" s="17"/>
      <c r="E226" s="16"/>
      <c r="F226" s="16"/>
    </row>
    <row r="227" spans="1:6" x14ac:dyDescent="0.3">
      <c r="A227" s="16"/>
      <c r="B227" s="15" t="str">
        <f>IF($A227="","",IFERROR(INDEX(Jobs!$B$2:$B$501,MATCH($A227,Jobs!$A$2:$A$501,0)),""))</f>
        <v/>
      </c>
      <c r="C227" s="16"/>
      <c r="D227" s="17"/>
      <c r="E227" s="16"/>
      <c r="F227" s="16"/>
    </row>
    <row r="228" spans="1:6" x14ac:dyDescent="0.3">
      <c r="A228" s="16"/>
      <c r="B228" s="15" t="str">
        <f>IF($A228="","",IFERROR(INDEX(Jobs!$B$2:$B$501,MATCH($A228,Jobs!$A$2:$A$501,0)),""))</f>
        <v/>
      </c>
      <c r="C228" s="16"/>
      <c r="D228" s="17"/>
      <c r="E228" s="16"/>
      <c r="F228" s="16"/>
    </row>
    <row r="229" spans="1:6" x14ac:dyDescent="0.3">
      <c r="A229" s="16"/>
      <c r="B229" s="15" t="str">
        <f>IF($A229="","",IFERROR(INDEX(Jobs!$B$2:$B$501,MATCH($A229,Jobs!$A$2:$A$501,0)),""))</f>
        <v/>
      </c>
      <c r="C229" s="16"/>
      <c r="D229" s="17"/>
      <c r="E229" s="16"/>
      <c r="F229" s="16"/>
    </row>
    <row r="230" spans="1:6" x14ac:dyDescent="0.3">
      <c r="A230" s="16"/>
      <c r="B230" s="15" t="str">
        <f>IF($A230="","",IFERROR(INDEX(Jobs!$B$2:$B$501,MATCH($A230,Jobs!$A$2:$A$501,0)),""))</f>
        <v/>
      </c>
      <c r="C230" s="16"/>
      <c r="D230" s="17"/>
      <c r="E230" s="16"/>
      <c r="F230" s="16"/>
    </row>
    <row r="231" spans="1:6" x14ac:dyDescent="0.3">
      <c r="A231" s="16"/>
      <c r="B231" s="15" t="str">
        <f>IF($A231="","",IFERROR(INDEX(Jobs!$B$2:$B$501,MATCH($A231,Jobs!$A$2:$A$501,0)),""))</f>
        <v/>
      </c>
      <c r="C231" s="16"/>
      <c r="D231" s="17"/>
      <c r="E231" s="16"/>
      <c r="F231" s="16"/>
    </row>
    <row r="232" spans="1:6" x14ac:dyDescent="0.3">
      <c r="A232" s="16"/>
      <c r="B232" s="15" t="str">
        <f>IF($A232="","",IFERROR(INDEX(Jobs!$B$2:$B$501,MATCH($A232,Jobs!$A$2:$A$501,0)),""))</f>
        <v/>
      </c>
      <c r="C232" s="16"/>
      <c r="D232" s="17"/>
      <c r="E232" s="16"/>
      <c r="F232" s="16"/>
    </row>
    <row r="233" spans="1:6" x14ac:dyDescent="0.3">
      <c r="A233" s="16"/>
      <c r="B233" s="15" t="str">
        <f>IF($A233="","",IFERROR(INDEX(Jobs!$B$2:$B$501,MATCH($A233,Jobs!$A$2:$A$501,0)),""))</f>
        <v/>
      </c>
      <c r="C233" s="16"/>
      <c r="D233" s="17"/>
      <c r="E233" s="16"/>
      <c r="F233" s="16"/>
    </row>
    <row r="234" spans="1:6" x14ac:dyDescent="0.3">
      <c r="A234" s="16"/>
      <c r="B234" s="15" t="str">
        <f>IF($A234="","",IFERROR(INDEX(Jobs!$B$2:$B$501,MATCH($A234,Jobs!$A$2:$A$501,0)),""))</f>
        <v/>
      </c>
      <c r="C234" s="16"/>
      <c r="D234" s="17"/>
      <c r="E234" s="16"/>
      <c r="F234" s="16"/>
    </row>
    <row r="235" spans="1:6" x14ac:dyDescent="0.3">
      <c r="A235" s="16"/>
      <c r="B235" s="15" t="str">
        <f>IF($A235="","",IFERROR(INDEX(Jobs!$B$2:$B$501,MATCH($A235,Jobs!$A$2:$A$501,0)),""))</f>
        <v/>
      </c>
      <c r="C235" s="16"/>
      <c r="D235" s="17"/>
      <c r="E235" s="16"/>
      <c r="F235" s="16"/>
    </row>
    <row r="236" spans="1:6" x14ac:dyDescent="0.3">
      <c r="A236" s="16"/>
      <c r="B236" s="15" t="str">
        <f>IF($A236="","",IFERROR(INDEX(Jobs!$B$2:$B$501,MATCH($A236,Jobs!$A$2:$A$501,0)),""))</f>
        <v/>
      </c>
      <c r="C236" s="16"/>
      <c r="D236" s="17"/>
      <c r="E236" s="16"/>
      <c r="F236" s="16"/>
    </row>
    <row r="237" spans="1:6" x14ac:dyDescent="0.3">
      <c r="A237" s="16"/>
      <c r="B237" s="15" t="str">
        <f>IF($A237="","",IFERROR(INDEX(Jobs!$B$2:$B$501,MATCH($A237,Jobs!$A$2:$A$501,0)),""))</f>
        <v/>
      </c>
      <c r="C237" s="16"/>
      <c r="D237" s="17"/>
      <c r="E237" s="16"/>
      <c r="F237" s="16"/>
    </row>
    <row r="238" spans="1:6" x14ac:dyDescent="0.3">
      <c r="A238" s="16"/>
      <c r="B238" s="15" t="str">
        <f>IF($A238="","",IFERROR(INDEX(Jobs!$B$2:$B$501,MATCH($A238,Jobs!$A$2:$A$501,0)),""))</f>
        <v/>
      </c>
      <c r="C238" s="16"/>
      <c r="D238" s="17"/>
      <c r="E238" s="16"/>
      <c r="F238" s="16"/>
    </row>
    <row r="239" spans="1:6" x14ac:dyDescent="0.3">
      <c r="A239" s="16"/>
      <c r="B239" s="15" t="str">
        <f>IF($A239="","",IFERROR(INDEX(Jobs!$B$2:$B$501,MATCH($A239,Jobs!$A$2:$A$501,0)),""))</f>
        <v/>
      </c>
      <c r="C239" s="16"/>
      <c r="D239" s="17"/>
      <c r="E239" s="16"/>
      <c r="F239" s="16"/>
    </row>
    <row r="240" spans="1:6" x14ac:dyDescent="0.3">
      <c r="A240" s="16"/>
      <c r="B240" s="15" t="str">
        <f>IF($A240="","",IFERROR(INDEX(Jobs!$B$2:$B$501,MATCH($A240,Jobs!$A$2:$A$501,0)),""))</f>
        <v/>
      </c>
      <c r="C240" s="16"/>
      <c r="D240" s="17"/>
      <c r="E240" s="16"/>
      <c r="F240" s="16"/>
    </row>
    <row r="241" spans="1:6" x14ac:dyDescent="0.3">
      <c r="A241" s="16"/>
      <c r="B241" s="15" t="str">
        <f>IF($A241="","",IFERROR(INDEX(Jobs!$B$2:$B$501,MATCH($A241,Jobs!$A$2:$A$501,0)),""))</f>
        <v/>
      </c>
      <c r="C241" s="16"/>
      <c r="D241" s="17"/>
      <c r="E241" s="16"/>
      <c r="F241" s="16"/>
    </row>
    <row r="242" spans="1:6" x14ac:dyDescent="0.3">
      <c r="A242" s="16"/>
      <c r="B242" s="15" t="str">
        <f>IF($A242="","",IFERROR(INDEX(Jobs!$B$2:$B$501,MATCH($A242,Jobs!$A$2:$A$501,0)),""))</f>
        <v/>
      </c>
      <c r="C242" s="16"/>
      <c r="D242" s="17"/>
      <c r="E242" s="16"/>
      <c r="F242" s="16"/>
    </row>
    <row r="243" spans="1:6" x14ac:dyDescent="0.3">
      <c r="A243" s="16"/>
      <c r="B243" s="15" t="str">
        <f>IF($A243="","",IFERROR(INDEX(Jobs!$B$2:$B$501,MATCH($A243,Jobs!$A$2:$A$501,0)),""))</f>
        <v/>
      </c>
      <c r="C243" s="16"/>
      <c r="D243" s="17"/>
      <c r="E243" s="16"/>
      <c r="F243" s="16"/>
    </row>
    <row r="244" spans="1:6" x14ac:dyDescent="0.3">
      <c r="A244" s="16"/>
      <c r="B244" s="15" t="str">
        <f>IF($A244="","",IFERROR(INDEX(Jobs!$B$2:$B$501,MATCH($A244,Jobs!$A$2:$A$501,0)),""))</f>
        <v/>
      </c>
      <c r="C244" s="16"/>
      <c r="D244" s="17"/>
      <c r="E244" s="16"/>
      <c r="F244" s="16"/>
    </row>
    <row r="245" spans="1:6" x14ac:dyDescent="0.3">
      <c r="A245" s="16"/>
      <c r="B245" s="15" t="str">
        <f>IF($A245="","",IFERROR(INDEX(Jobs!$B$2:$B$501,MATCH($A245,Jobs!$A$2:$A$501,0)),""))</f>
        <v/>
      </c>
      <c r="C245" s="16"/>
      <c r="D245" s="17"/>
      <c r="E245" s="16"/>
      <c r="F245" s="16"/>
    </row>
    <row r="246" spans="1:6" x14ac:dyDescent="0.3">
      <c r="A246" s="16"/>
      <c r="B246" s="15" t="str">
        <f>IF($A246="","",IFERROR(INDEX(Jobs!$B$2:$B$501,MATCH($A246,Jobs!$A$2:$A$501,0)),""))</f>
        <v/>
      </c>
      <c r="C246" s="16"/>
      <c r="D246" s="17"/>
      <c r="E246" s="16"/>
      <c r="F246" s="16"/>
    </row>
    <row r="247" spans="1:6" x14ac:dyDescent="0.3">
      <c r="A247" s="16"/>
      <c r="B247" s="15" t="str">
        <f>IF($A247="","",IFERROR(INDEX(Jobs!$B$2:$B$501,MATCH($A247,Jobs!$A$2:$A$501,0)),""))</f>
        <v/>
      </c>
      <c r="C247" s="16"/>
      <c r="D247" s="17"/>
      <c r="E247" s="16"/>
      <c r="F247" s="16"/>
    </row>
    <row r="248" spans="1:6" x14ac:dyDescent="0.3">
      <c r="A248" s="16"/>
      <c r="B248" s="15" t="str">
        <f>IF($A248="","",IFERROR(INDEX(Jobs!$B$2:$B$501,MATCH($A248,Jobs!$A$2:$A$501,0)),""))</f>
        <v/>
      </c>
      <c r="C248" s="16"/>
      <c r="D248" s="17"/>
      <c r="E248" s="16"/>
      <c r="F248" s="16"/>
    </row>
    <row r="249" spans="1:6" x14ac:dyDescent="0.3">
      <c r="A249" s="16"/>
      <c r="B249" s="15" t="str">
        <f>IF($A249="","",IFERROR(INDEX(Jobs!$B$2:$B$501,MATCH($A249,Jobs!$A$2:$A$501,0)),""))</f>
        <v/>
      </c>
      <c r="C249" s="16"/>
      <c r="D249" s="17"/>
      <c r="E249" s="16"/>
      <c r="F249" s="16"/>
    </row>
    <row r="250" spans="1:6" x14ac:dyDescent="0.3">
      <c r="A250" s="16"/>
      <c r="B250" s="15" t="str">
        <f>IF($A250="","",IFERROR(INDEX(Jobs!$B$2:$B$501,MATCH($A250,Jobs!$A$2:$A$501,0)),""))</f>
        <v/>
      </c>
      <c r="C250" s="16"/>
      <c r="D250" s="17"/>
      <c r="E250" s="16"/>
      <c r="F250" s="16"/>
    </row>
    <row r="251" spans="1:6" x14ac:dyDescent="0.3">
      <c r="A251" s="16"/>
      <c r="B251" s="15" t="str">
        <f>IF($A251="","",IFERROR(INDEX(Jobs!$B$2:$B$501,MATCH($A251,Jobs!$A$2:$A$501,0)),""))</f>
        <v/>
      </c>
      <c r="C251" s="16"/>
      <c r="D251" s="17"/>
      <c r="E251" s="16"/>
      <c r="F251" s="16"/>
    </row>
    <row r="252" spans="1:6" x14ac:dyDescent="0.3">
      <c r="A252" s="16"/>
      <c r="B252" s="15" t="str">
        <f>IF($A252="","",IFERROR(INDEX(Jobs!$B$2:$B$501,MATCH($A252,Jobs!$A$2:$A$501,0)),""))</f>
        <v/>
      </c>
      <c r="C252" s="16"/>
      <c r="D252" s="17"/>
      <c r="E252" s="16"/>
      <c r="F252" s="16"/>
    </row>
    <row r="253" spans="1:6" x14ac:dyDescent="0.3">
      <c r="A253" s="16"/>
      <c r="B253" s="15" t="str">
        <f>IF($A253="","",IFERROR(INDEX(Jobs!$B$2:$B$501,MATCH($A253,Jobs!$A$2:$A$501,0)),""))</f>
        <v/>
      </c>
      <c r="C253" s="16"/>
      <c r="D253" s="17"/>
      <c r="E253" s="16"/>
      <c r="F253" s="16"/>
    </row>
    <row r="254" spans="1:6" x14ac:dyDescent="0.3">
      <c r="A254" s="16"/>
      <c r="B254" s="15" t="str">
        <f>IF($A254="","",IFERROR(INDEX(Jobs!$B$2:$B$501,MATCH($A254,Jobs!$A$2:$A$501,0)),""))</f>
        <v/>
      </c>
      <c r="C254" s="16"/>
      <c r="D254" s="17"/>
      <c r="E254" s="16"/>
      <c r="F254" s="16"/>
    </row>
    <row r="255" spans="1:6" x14ac:dyDescent="0.3">
      <c r="A255" s="16"/>
      <c r="B255" s="15" t="str">
        <f>IF($A255="","",IFERROR(INDEX(Jobs!$B$2:$B$501,MATCH($A255,Jobs!$A$2:$A$501,0)),""))</f>
        <v/>
      </c>
      <c r="C255" s="16"/>
      <c r="D255" s="17"/>
      <c r="E255" s="16"/>
      <c r="F255" s="16"/>
    </row>
    <row r="256" spans="1:6" x14ac:dyDescent="0.3">
      <c r="A256" s="16"/>
      <c r="B256" s="15" t="str">
        <f>IF($A256="","",IFERROR(INDEX(Jobs!$B$2:$B$501,MATCH($A256,Jobs!$A$2:$A$501,0)),""))</f>
        <v/>
      </c>
      <c r="C256" s="16"/>
      <c r="D256" s="17"/>
      <c r="E256" s="16"/>
      <c r="F256" s="16"/>
    </row>
    <row r="257" spans="1:6" x14ac:dyDescent="0.3">
      <c r="A257" s="16"/>
      <c r="B257" s="15" t="str">
        <f>IF($A257="","",IFERROR(INDEX(Jobs!$B$2:$B$501,MATCH($A257,Jobs!$A$2:$A$501,0)),""))</f>
        <v/>
      </c>
      <c r="C257" s="16"/>
      <c r="D257" s="17"/>
      <c r="E257" s="16"/>
      <c r="F257" s="16"/>
    </row>
    <row r="258" spans="1:6" x14ac:dyDescent="0.3">
      <c r="A258" s="16"/>
      <c r="B258" s="15" t="str">
        <f>IF($A258="","",IFERROR(INDEX(Jobs!$B$2:$B$501,MATCH($A258,Jobs!$A$2:$A$501,0)),""))</f>
        <v/>
      </c>
      <c r="C258" s="16"/>
      <c r="D258" s="17"/>
      <c r="E258" s="16"/>
      <c r="F258" s="16"/>
    </row>
    <row r="259" spans="1:6" x14ac:dyDescent="0.3">
      <c r="A259" s="16"/>
      <c r="B259" s="15" t="str">
        <f>IF($A259="","",IFERROR(INDEX(Jobs!$B$2:$B$501,MATCH($A259,Jobs!$A$2:$A$501,0)),""))</f>
        <v/>
      </c>
      <c r="C259" s="16"/>
      <c r="D259" s="17"/>
      <c r="E259" s="16"/>
      <c r="F259" s="16"/>
    </row>
    <row r="260" spans="1:6" x14ac:dyDescent="0.3">
      <c r="A260" s="16"/>
      <c r="B260" s="15" t="str">
        <f>IF($A260="","",IFERROR(INDEX(Jobs!$B$2:$B$501,MATCH($A260,Jobs!$A$2:$A$501,0)),""))</f>
        <v/>
      </c>
      <c r="C260" s="16"/>
      <c r="D260" s="17"/>
      <c r="E260" s="16"/>
      <c r="F260" s="16"/>
    </row>
    <row r="261" spans="1:6" x14ac:dyDescent="0.3">
      <c r="A261" s="16"/>
      <c r="B261" s="15" t="str">
        <f>IF($A261="","",IFERROR(INDEX(Jobs!$B$2:$B$501,MATCH($A261,Jobs!$A$2:$A$501,0)),""))</f>
        <v/>
      </c>
      <c r="C261" s="16"/>
      <c r="D261" s="17"/>
      <c r="E261" s="16"/>
      <c r="F261" s="16"/>
    </row>
    <row r="262" spans="1:6" x14ac:dyDescent="0.3">
      <c r="A262" s="16"/>
      <c r="B262" s="15" t="str">
        <f>IF($A262="","",IFERROR(INDEX(Jobs!$B$2:$B$501,MATCH($A262,Jobs!$A$2:$A$501,0)),""))</f>
        <v/>
      </c>
      <c r="C262" s="16"/>
      <c r="D262" s="17"/>
      <c r="E262" s="16"/>
      <c r="F262" s="16"/>
    </row>
    <row r="263" spans="1:6" x14ac:dyDescent="0.3">
      <c r="A263" s="16"/>
      <c r="B263" s="15" t="str">
        <f>IF($A263="","",IFERROR(INDEX(Jobs!$B$2:$B$501,MATCH($A263,Jobs!$A$2:$A$501,0)),""))</f>
        <v/>
      </c>
      <c r="C263" s="16"/>
      <c r="D263" s="17"/>
      <c r="E263" s="16"/>
      <c r="F263" s="16"/>
    </row>
    <row r="264" spans="1:6" x14ac:dyDescent="0.3">
      <c r="A264" s="16"/>
      <c r="B264" s="15" t="str">
        <f>IF($A264="","",IFERROR(INDEX(Jobs!$B$2:$B$501,MATCH($A264,Jobs!$A$2:$A$501,0)),""))</f>
        <v/>
      </c>
      <c r="C264" s="16"/>
      <c r="D264" s="17"/>
      <c r="E264" s="16"/>
      <c r="F264" s="16"/>
    </row>
    <row r="265" spans="1:6" x14ac:dyDescent="0.3">
      <c r="A265" s="16"/>
      <c r="B265" s="15" t="str">
        <f>IF($A265="","",IFERROR(INDEX(Jobs!$B$2:$B$501,MATCH($A265,Jobs!$A$2:$A$501,0)),""))</f>
        <v/>
      </c>
      <c r="C265" s="16"/>
      <c r="D265" s="17"/>
      <c r="E265" s="16"/>
      <c r="F265" s="16"/>
    </row>
    <row r="266" spans="1:6" x14ac:dyDescent="0.3">
      <c r="A266" s="16"/>
      <c r="B266" s="15" t="str">
        <f>IF($A266="","",IFERROR(INDEX(Jobs!$B$2:$B$501,MATCH($A266,Jobs!$A$2:$A$501,0)),""))</f>
        <v/>
      </c>
      <c r="C266" s="16"/>
      <c r="D266" s="17"/>
      <c r="E266" s="16"/>
      <c r="F266" s="16"/>
    </row>
    <row r="267" spans="1:6" x14ac:dyDescent="0.3">
      <c r="A267" s="16"/>
      <c r="B267" s="15" t="str">
        <f>IF($A267="","",IFERROR(INDEX(Jobs!$B$2:$B$501,MATCH($A267,Jobs!$A$2:$A$501,0)),""))</f>
        <v/>
      </c>
      <c r="C267" s="16"/>
      <c r="D267" s="17"/>
      <c r="E267" s="16"/>
      <c r="F267" s="16"/>
    </row>
    <row r="268" spans="1:6" x14ac:dyDescent="0.3">
      <c r="A268" s="16"/>
      <c r="B268" s="15" t="str">
        <f>IF($A268="","",IFERROR(INDEX(Jobs!$B$2:$B$501,MATCH($A268,Jobs!$A$2:$A$501,0)),""))</f>
        <v/>
      </c>
      <c r="C268" s="16"/>
      <c r="D268" s="17"/>
      <c r="E268" s="16"/>
      <c r="F268" s="16"/>
    </row>
    <row r="269" spans="1:6" x14ac:dyDescent="0.3">
      <c r="A269" s="16"/>
      <c r="B269" s="15" t="str">
        <f>IF($A269="","",IFERROR(INDEX(Jobs!$B$2:$B$501,MATCH($A269,Jobs!$A$2:$A$501,0)),""))</f>
        <v/>
      </c>
      <c r="C269" s="16"/>
      <c r="D269" s="17"/>
      <c r="E269" s="16"/>
      <c r="F269" s="16"/>
    </row>
    <row r="270" spans="1:6" x14ac:dyDescent="0.3">
      <c r="A270" s="16"/>
      <c r="B270" s="15" t="str">
        <f>IF($A270="","",IFERROR(INDEX(Jobs!$B$2:$B$501,MATCH($A270,Jobs!$A$2:$A$501,0)),""))</f>
        <v/>
      </c>
      <c r="C270" s="16"/>
      <c r="D270" s="17"/>
      <c r="E270" s="16"/>
      <c r="F270" s="16"/>
    </row>
    <row r="271" spans="1:6" x14ac:dyDescent="0.3">
      <c r="A271" s="16"/>
      <c r="B271" s="15" t="str">
        <f>IF($A271="","",IFERROR(INDEX(Jobs!$B$2:$B$501,MATCH($A271,Jobs!$A$2:$A$501,0)),""))</f>
        <v/>
      </c>
      <c r="C271" s="16"/>
      <c r="D271" s="17"/>
      <c r="E271" s="16"/>
      <c r="F271" s="16"/>
    </row>
    <row r="272" spans="1:6" x14ac:dyDescent="0.3">
      <c r="A272" s="16"/>
      <c r="B272" s="15" t="str">
        <f>IF($A272="","",IFERROR(INDEX(Jobs!$B$2:$B$501,MATCH($A272,Jobs!$A$2:$A$501,0)),""))</f>
        <v/>
      </c>
      <c r="C272" s="16"/>
      <c r="D272" s="17"/>
      <c r="E272" s="16"/>
      <c r="F272" s="16"/>
    </row>
    <row r="273" spans="1:6" x14ac:dyDescent="0.3">
      <c r="A273" s="16"/>
      <c r="B273" s="15" t="str">
        <f>IF($A273="","",IFERROR(INDEX(Jobs!$B$2:$B$501,MATCH($A273,Jobs!$A$2:$A$501,0)),""))</f>
        <v/>
      </c>
      <c r="C273" s="16"/>
      <c r="D273" s="17"/>
      <c r="E273" s="16"/>
      <c r="F273" s="16"/>
    </row>
    <row r="274" spans="1:6" x14ac:dyDescent="0.3">
      <c r="A274" s="16"/>
      <c r="B274" s="15" t="str">
        <f>IF($A274="","",IFERROR(INDEX(Jobs!$B$2:$B$501,MATCH($A274,Jobs!$A$2:$A$501,0)),""))</f>
        <v/>
      </c>
      <c r="C274" s="16"/>
      <c r="D274" s="17"/>
      <c r="E274" s="16"/>
      <c r="F274" s="16"/>
    </row>
    <row r="275" spans="1:6" x14ac:dyDescent="0.3">
      <c r="A275" s="16"/>
      <c r="B275" s="15" t="str">
        <f>IF($A275="","",IFERROR(INDEX(Jobs!$B$2:$B$501,MATCH($A275,Jobs!$A$2:$A$501,0)),""))</f>
        <v/>
      </c>
      <c r="C275" s="16"/>
      <c r="D275" s="17"/>
      <c r="E275" s="16"/>
      <c r="F275" s="16"/>
    </row>
    <row r="276" spans="1:6" x14ac:dyDescent="0.3">
      <c r="A276" s="16"/>
      <c r="B276" s="15" t="str">
        <f>IF($A276="","",IFERROR(INDEX(Jobs!$B$2:$B$501,MATCH($A276,Jobs!$A$2:$A$501,0)),""))</f>
        <v/>
      </c>
      <c r="C276" s="16"/>
      <c r="D276" s="17"/>
      <c r="E276" s="16"/>
      <c r="F276" s="16"/>
    </row>
    <row r="277" spans="1:6" x14ac:dyDescent="0.3">
      <c r="A277" s="16"/>
      <c r="B277" s="15" t="str">
        <f>IF($A277="","",IFERROR(INDEX(Jobs!$B$2:$B$501,MATCH($A277,Jobs!$A$2:$A$501,0)),""))</f>
        <v/>
      </c>
      <c r="C277" s="16"/>
      <c r="D277" s="17"/>
      <c r="E277" s="16"/>
      <c r="F277" s="16"/>
    </row>
    <row r="278" spans="1:6" x14ac:dyDescent="0.3">
      <c r="A278" s="16"/>
      <c r="B278" s="15" t="str">
        <f>IF($A278="","",IFERROR(INDEX(Jobs!$B$2:$B$501,MATCH($A278,Jobs!$A$2:$A$501,0)),""))</f>
        <v/>
      </c>
      <c r="C278" s="16"/>
      <c r="D278" s="17"/>
      <c r="E278" s="16"/>
      <c r="F278" s="16"/>
    </row>
    <row r="279" spans="1:6" x14ac:dyDescent="0.3">
      <c r="A279" s="16"/>
      <c r="B279" s="15" t="str">
        <f>IF($A279="","",IFERROR(INDEX(Jobs!$B$2:$B$501,MATCH($A279,Jobs!$A$2:$A$501,0)),""))</f>
        <v/>
      </c>
      <c r="C279" s="16"/>
      <c r="D279" s="17"/>
      <c r="E279" s="16"/>
      <c r="F279" s="16"/>
    </row>
    <row r="280" spans="1:6" x14ac:dyDescent="0.3">
      <c r="A280" s="16"/>
      <c r="B280" s="15" t="str">
        <f>IF($A280="","",IFERROR(INDEX(Jobs!$B$2:$B$501,MATCH($A280,Jobs!$A$2:$A$501,0)),""))</f>
        <v/>
      </c>
      <c r="C280" s="16"/>
      <c r="D280" s="17"/>
      <c r="E280" s="16"/>
      <c r="F280" s="16"/>
    </row>
    <row r="281" spans="1:6" x14ac:dyDescent="0.3">
      <c r="A281" s="16"/>
      <c r="B281" s="15" t="str">
        <f>IF($A281="","",IFERROR(INDEX(Jobs!$B$2:$B$501,MATCH($A281,Jobs!$A$2:$A$501,0)),""))</f>
        <v/>
      </c>
      <c r="C281" s="16"/>
      <c r="D281" s="17"/>
      <c r="E281" s="16"/>
      <c r="F281" s="16"/>
    </row>
    <row r="282" spans="1:6" x14ac:dyDescent="0.3">
      <c r="A282" s="16"/>
      <c r="B282" s="15" t="str">
        <f>IF($A282="","",IFERROR(INDEX(Jobs!$B$2:$B$501,MATCH($A282,Jobs!$A$2:$A$501,0)),""))</f>
        <v/>
      </c>
      <c r="C282" s="16"/>
      <c r="D282" s="17"/>
      <c r="E282" s="16"/>
      <c r="F282" s="16"/>
    </row>
    <row r="283" spans="1:6" x14ac:dyDescent="0.3">
      <c r="A283" s="16"/>
      <c r="B283" s="15" t="str">
        <f>IF($A283="","",IFERROR(INDEX(Jobs!$B$2:$B$501,MATCH($A283,Jobs!$A$2:$A$501,0)),""))</f>
        <v/>
      </c>
      <c r="C283" s="16"/>
      <c r="D283" s="17"/>
      <c r="E283" s="16"/>
      <c r="F283" s="16"/>
    </row>
    <row r="284" spans="1:6" x14ac:dyDescent="0.3">
      <c r="A284" s="16"/>
      <c r="B284" s="15" t="str">
        <f>IF($A284="","",IFERROR(INDEX(Jobs!$B$2:$B$501,MATCH($A284,Jobs!$A$2:$A$501,0)),""))</f>
        <v/>
      </c>
      <c r="C284" s="16"/>
      <c r="D284" s="17"/>
      <c r="E284" s="16"/>
      <c r="F284" s="16"/>
    </row>
    <row r="285" spans="1:6" x14ac:dyDescent="0.3">
      <c r="A285" s="16"/>
      <c r="B285" s="15" t="str">
        <f>IF($A285="","",IFERROR(INDEX(Jobs!$B$2:$B$501,MATCH($A285,Jobs!$A$2:$A$501,0)),""))</f>
        <v/>
      </c>
      <c r="C285" s="16"/>
      <c r="D285" s="17"/>
      <c r="E285" s="16"/>
      <c r="F285" s="16"/>
    </row>
    <row r="286" spans="1:6" x14ac:dyDescent="0.3">
      <c r="A286" s="16"/>
      <c r="B286" s="15" t="str">
        <f>IF($A286="","",IFERROR(INDEX(Jobs!$B$2:$B$501,MATCH($A286,Jobs!$A$2:$A$501,0)),""))</f>
        <v/>
      </c>
      <c r="C286" s="16"/>
      <c r="D286" s="17"/>
      <c r="E286" s="16"/>
      <c r="F286" s="16"/>
    </row>
    <row r="287" spans="1:6" x14ac:dyDescent="0.3">
      <c r="A287" s="16"/>
      <c r="B287" s="15" t="str">
        <f>IF($A287="","",IFERROR(INDEX(Jobs!$B$2:$B$501,MATCH($A287,Jobs!$A$2:$A$501,0)),""))</f>
        <v/>
      </c>
      <c r="C287" s="16"/>
      <c r="D287" s="17"/>
      <c r="E287" s="16"/>
      <c r="F287" s="16"/>
    </row>
    <row r="288" spans="1:6" x14ac:dyDescent="0.3">
      <c r="A288" s="16"/>
      <c r="B288" s="15" t="str">
        <f>IF($A288="","",IFERROR(INDEX(Jobs!$B$2:$B$501,MATCH($A288,Jobs!$A$2:$A$501,0)),""))</f>
        <v/>
      </c>
      <c r="C288" s="16"/>
      <c r="D288" s="17"/>
      <c r="E288" s="16"/>
      <c r="F288" s="16"/>
    </row>
    <row r="289" spans="1:6" x14ac:dyDescent="0.3">
      <c r="A289" s="16"/>
      <c r="B289" s="15" t="str">
        <f>IF($A289="","",IFERROR(INDEX(Jobs!$B$2:$B$501,MATCH($A289,Jobs!$A$2:$A$501,0)),""))</f>
        <v/>
      </c>
      <c r="C289" s="16"/>
      <c r="D289" s="17"/>
      <c r="E289" s="16"/>
      <c r="F289" s="16"/>
    </row>
    <row r="290" spans="1:6" x14ac:dyDescent="0.3">
      <c r="A290" s="16"/>
      <c r="B290" s="15" t="str">
        <f>IF($A290="","",IFERROR(INDEX(Jobs!$B$2:$B$501,MATCH($A290,Jobs!$A$2:$A$501,0)),""))</f>
        <v/>
      </c>
      <c r="C290" s="16"/>
      <c r="D290" s="17"/>
      <c r="E290" s="16"/>
      <c r="F290" s="16"/>
    </row>
    <row r="291" spans="1:6" x14ac:dyDescent="0.3">
      <c r="A291" s="16"/>
      <c r="B291" s="15" t="str">
        <f>IF($A291="","",IFERROR(INDEX(Jobs!$B$2:$B$501,MATCH($A291,Jobs!$A$2:$A$501,0)),""))</f>
        <v/>
      </c>
      <c r="C291" s="16"/>
      <c r="D291" s="17"/>
      <c r="E291" s="16"/>
      <c r="F291" s="16"/>
    </row>
    <row r="292" spans="1:6" x14ac:dyDescent="0.3">
      <c r="A292" s="16"/>
      <c r="B292" s="15" t="str">
        <f>IF($A292="","",IFERROR(INDEX(Jobs!$B$2:$B$501,MATCH($A292,Jobs!$A$2:$A$501,0)),""))</f>
        <v/>
      </c>
      <c r="C292" s="16"/>
      <c r="D292" s="17"/>
      <c r="E292" s="16"/>
      <c r="F292" s="16"/>
    </row>
    <row r="293" spans="1:6" x14ac:dyDescent="0.3">
      <c r="A293" s="16"/>
      <c r="B293" s="15" t="str">
        <f>IF($A293="","",IFERROR(INDEX(Jobs!$B$2:$B$501,MATCH($A293,Jobs!$A$2:$A$501,0)),""))</f>
        <v/>
      </c>
      <c r="C293" s="16"/>
      <c r="D293" s="17"/>
      <c r="E293" s="16"/>
      <c r="F293" s="16"/>
    </row>
    <row r="294" spans="1:6" x14ac:dyDescent="0.3">
      <c r="A294" s="16"/>
      <c r="B294" s="15" t="str">
        <f>IF($A294="","",IFERROR(INDEX(Jobs!$B$2:$B$501,MATCH($A294,Jobs!$A$2:$A$501,0)),""))</f>
        <v/>
      </c>
      <c r="C294" s="16"/>
      <c r="D294" s="17"/>
      <c r="E294" s="16"/>
      <c r="F294" s="16"/>
    </row>
    <row r="295" spans="1:6" x14ac:dyDescent="0.3">
      <c r="A295" s="16"/>
      <c r="B295" s="15" t="str">
        <f>IF($A295="","",IFERROR(INDEX(Jobs!$B$2:$B$501,MATCH($A295,Jobs!$A$2:$A$501,0)),""))</f>
        <v/>
      </c>
      <c r="C295" s="16"/>
      <c r="D295" s="17"/>
      <c r="E295" s="16"/>
      <c r="F295" s="16"/>
    </row>
    <row r="296" spans="1:6" x14ac:dyDescent="0.3">
      <c r="A296" s="16"/>
      <c r="B296" s="15" t="str">
        <f>IF($A296="","",IFERROR(INDEX(Jobs!$B$2:$B$501,MATCH($A296,Jobs!$A$2:$A$501,0)),""))</f>
        <v/>
      </c>
      <c r="C296" s="16"/>
      <c r="D296" s="17"/>
      <c r="E296" s="16"/>
      <c r="F296" s="16"/>
    </row>
    <row r="297" spans="1:6" x14ac:dyDescent="0.3">
      <c r="A297" s="16"/>
      <c r="B297" s="15" t="str">
        <f>IF($A297="","",IFERROR(INDEX(Jobs!$B$2:$B$501,MATCH($A297,Jobs!$A$2:$A$501,0)),""))</f>
        <v/>
      </c>
      <c r="C297" s="16"/>
      <c r="D297" s="17"/>
      <c r="E297" s="16"/>
      <c r="F297" s="16"/>
    </row>
    <row r="298" spans="1:6" x14ac:dyDescent="0.3">
      <c r="A298" s="16"/>
      <c r="B298" s="15" t="str">
        <f>IF($A298="","",IFERROR(INDEX(Jobs!$B$2:$B$501,MATCH($A298,Jobs!$A$2:$A$501,0)),""))</f>
        <v/>
      </c>
      <c r="C298" s="16"/>
      <c r="D298" s="17"/>
      <c r="E298" s="16"/>
      <c r="F298" s="16"/>
    </row>
    <row r="299" spans="1:6" x14ac:dyDescent="0.3">
      <c r="A299" s="16"/>
      <c r="B299" s="15" t="str">
        <f>IF($A299="","",IFERROR(INDEX(Jobs!$B$2:$B$501,MATCH($A299,Jobs!$A$2:$A$501,0)),""))</f>
        <v/>
      </c>
      <c r="C299" s="16"/>
      <c r="D299" s="17"/>
      <c r="E299" s="16"/>
      <c r="F299" s="16"/>
    </row>
    <row r="300" spans="1:6" x14ac:dyDescent="0.3">
      <c r="A300" s="16"/>
      <c r="B300" s="15" t="str">
        <f>IF($A300="","",IFERROR(INDEX(Jobs!$B$2:$B$501,MATCH($A300,Jobs!$A$2:$A$501,0)),""))</f>
        <v/>
      </c>
      <c r="C300" s="16"/>
      <c r="D300" s="17"/>
      <c r="E300" s="16"/>
      <c r="F300" s="16"/>
    </row>
    <row r="301" spans="1:6" x14ac:dyDescent="0.3">
      <c r="A301" s="16"/>
      <c r="B301" s="15" t="str">
        <f>IF($A301="","",IFERROR(INDEX(Jobs!$B$2:$B$501,MATCH($A301,Jobs!$A$2:$A$501,0)),""))</f>
        <v/>
      </c>
      <c r="C301" s="16"/>
      <c r="D301" s="17"/>
      <c r="E301" s="16"/>
      <c r="F301" s="16"/>
    </row>
    <row r="302" spans="1:6" x14ac:dyDescent="0.3">
      <c r="A302" s="16"/>
      <c r="B302" s="15" t="str">
        <f>IF($A302="","",IFERROR(INDEX(Jobs!$B$2:$B$501,MATCH($A302,Jobs!$A$2:$A$501,0)),""))</f>
        <v/>
      </c>
      <c r="C302" s="16"/>
      <c r="D302" s="17"/>
      <c r="E302" s="16"/>
      <c r="F302" s="16"/>
    </row>
    <row r="303" spans="1:6" x14ac:dyDescent="0.3">
      <c r="A303" s="16"/>
      <c r="B303" s="15" t="str">
        <f>IF($A303="","",IFERROR(INDEX(Jobs!$B$2:$B$501,MATCH($A303,Jobs!$A$2:$A$501,0)),""))</f>
        <v/>
      </c>
      <c r="C303" s="16"/>
      <c r="D303" s="17"/>
      <c r="E303" s="16"/>
      <c r="F303" s="16"/>
    </row>
    <row r="304" spans="1:6" x14ac:dyDescent="0.3">
      <c r="A304" s="16"/>
      <c r="B304" s="15" t="str">
        <f>IF($A304="","",IFERROR(INDEX(Jobs!$B$2:$B$501,MATCH($A304,Jobs!$A$2:$A$501,0)),""))</f>
        <v/>
      </c>
      <c r="C304" s="16"/>
      <c r="D304" s="17"/>
      <c r="E304" s="16"/>
      <c r="F304" s="16"/>
    </row>
    <row r="305" spans="1:6" x14ac:dyDescent="0.3">
      <c r="A305" s="16"/>
      <c r="B305" s="15" t="str">
        <f>IF($A305="","",IFERROR(INDEX(Jobs!$B$2:$B$501,MATCH($A305,Jobs!$A$2:$A$501,0)),""))</f>
        <v/>
      </c>
      <c r="C305" s="16"/>
      <c r="D305" s="17"/>
      <c r="E305" s="16"/>
      <c r="F305" s="16"/>
    </row>
    <row r="306" spans="1:6" x14ac:dyDescent="0.3">
      <c r="A306" s="16"/>
      <c r="B306" s="15" t="str">
        <f>IF($A306="","",IFERROR(INDEX(Jobs!$B$2:$B$501,MATCH($A306,Jobs!$A$2:$A$501,0)),""))</f>
        <v/>
      </c>
      <c r="C306" s="16"/>
      <c r="D306" s="17"/>
      <c r="E306" s="16"/>
      <c r="F306" s="16"/>
    </row>
    <row r="307" spans="1:6" x14ac:dyDescent="0.3">
      <c r="A307" s="16"/>
      <c r="B307" s="15" t="str">
        <f>IF($A307="","",IFERROR(INDEX(Jobs!$B$2:$B$501,MATCH($A307,Jobs!$A$2:$A$501,0)),""))</f>
        <v/>
      </c>
      <c r="C307" s="16"/>
      <c r="D307" s="17"/>
      <c r="E307" s="16"/>
      <c r="F307" s="16"/>
    </row>
    <row r="308" spans="1:6" x14ac:dyDescent="0.3">
      <c r="A308" s="16"/>
      <c r="B308" s="15" t="str">
        <f>IF($A308="","",IFERROR(INDEX(Jobs!$B$2:$B$501,MATCH($A308,Jobs!$A$2:$A$501,0)),""))</f>
        <v/>
      </c>
      <c r="C308" s="16"/>
      <c r="D308" s="17"/>
      <c r="E308" s="16"/>
      <c r="F308" s="16"/>
    </row>
    <row r="309" spans="1:6" x14ac:dyDescent="0.3">
      <c r="A309" s="16"/>
      <c r="B309" s="15" t="str">
        <f>IF($A309="","",IFERROR(INDEX(Jobs!$B$2:$B$501,MATCH($A309,Jobs!$A$2:$A$501,0)),""))</f>
        <v/>
      </c>
      <c r="C309" s="16"/>
      <c r="D309" s="17"/>
      <c r="E309" s="16"/>
      <c r="F309" s="16"/>
    </row>
    <row r="310" spans="1:6" x14ac:dyDescent="0.3">
      <c r="A310" s="16"/>
      <c r="B310" s="15" t="str">
        <f>IF($A310="","",IFERROR(INDEX(Jobs!$B$2:$B$501,MATCH($A310,Jobs!$A$2:$A$501,0)),""))</f>
        <v/>
      </c>
      <c r="C310" s="16"/>
      <c r="D310" s="17"/>
      <c r="E310" s="16"/>
      <c r="F310" s="16"/>
    </row>
    <row r="311" spans="1:6" x14ac:dyDescent="0.3">
      <c r="A311" s="16"/>
      <c r="B311" s="15" t="str">
        <f>IF($A311="","",IFERROR(INDEX(Jobs!$B$2:$B$501,MATCH($A311,Jobs!$A$2:$A$501,0)),""))</f>
        <v/>
      </c>
      <c r="C311" s="16"/>
      <c r="D311" s="17"/>
      <c r="E311" s="16"/>
      <c r="F311" s="16"/>
    </row>
    <row r="312" spans="1:6" x14ac:dyDescent="0.3">
      <c r="A312" s="16"/>
      <c r="B312" s="15" t="str">
        <f>IF($A312="","",IFERROR(INDEX(Jobs!$B$2:$B$501,MATCH($A312,Jobs!$A$2:$A$501,0)),""))</f>
        <v/>
      </c>
      <c r="C312" s="16"/>
      <c r="D312" s="17"/>
      <c r="E312" s="16"/>
      <c r="F312" s="16"/>
    </row>
    <row r="313" spans="1:6" x14ac:dyDescent="0.3">
      <c r="A313" s="16"/>
      <c r="B313" s="15" t="str">
        <f>IF($A313="","",IFERROR(INDEX(Jobs!$B$2:$B$501,MATCH($A313,Jobs!$A$2:$A$501,0)),""))</f>
        <v/>
      </c>
      <c r="C313" s="16"/>
      <c r="D313" s="17"/>
      <c r="E313" s="16"/>
      <c r="F313" s="16"/>
    </row>
    <row r="314" spans="1:6" x14ac:dyDescent="0.3">
      <c r="A314" s="16"/>
      <c r="B314" s="15" t="str">
        <f>IF($A314="","",IFERROR(INDEX(Jobs!$B$2:$B$501,MATCH($A314,Jobs!$A$2:$A$501,0)),""))</f>
        <v/>
      </c>
      <c r="C314" s="16"/>
      <c r="D314" s="17"/>
      <c r="E314" s="16"/>
      <c r="F314" s="16"/>
    </row>
    <row r="315" spans="1:6" x14ac:dyDescent="0.3">
      <c r="A315" s="16"/>
      <c r="B315" s="15" t="str">
        <f>IF($A315="","",IFERROR(INDEX(Jobs!$B$2:$B$501,MATCH($A315,Jobs!$A$2:$A$501,0)),""))</f>
        <v/>
      </c>
      <c r="C315" s="16"/>
      <c r="D315" s="17"/>
      <c r="E315" s="16"/>
      <c r="F315" s="16"/>
    </row>
    <row r="316" spans="1:6" x14ac:dyDescent="0.3">
      <c r="A316" s="16"/>
      <c r="B316" s="15" t="str">
        <f>IF($A316="","",IFERROR(INDEX(Jobs!$B$2:$B$501,MATCH($A316,Jobs!$A$2:$A$501,0)),""))</f>
        <v/>
      </c>
      <c r="C316" s="16"/>
      <c r="D316" s="17"/>
      <c r="E316" s="16"/>
      <c r="F316" s="16"/>
    </row>
    <row r="317" spans="1:6" x14ac:dyDescent="0.3">
      <c r="A317" s="16"/>
      <c r="B317" s="15" t="str">
        <f>IF($A317="","",IFERROR(INDEX(Jobs!$B$2:$B$501,MATCH($A317,Jobs!$A$2:$A$501,0)),""))</f>
        <v/>
      </c>
      <c r="C317" s="16"/>
      <c r="D317" s="17"/>
      <c r="E317" s="16"/>
      <c r="F317" s="16"/>
    </row>
    <row r="318" spans="1:6" x14ac:dyDescent="0.3">
      <c r="A318" s="16"/>
      <c r="B318" s="15" t="str">
        <f>IF($A318="","",IFERROR(INDEX(Jobs!$B$2:$B$501,MATCH($A318,Jobs!$A$2:$A$501,0)),""))</f>
        <v/>
      </c>
      <c r="C318" s="16"/>
      <c r="D318" s="17"/>
      <c r="E318" s="16"/>
      <c r="F318" s="16"/>
    </row>
    <row r="319" spans="1:6" x14ac:dyDescent="0.3">
      <c r="A319" s="16"/>
      <c r="B319" s="15" t="str">
        <f>IF($A319="","",IFERROR(INDEX(Jobs!$B$2:$B$501,MATCH($A319,Jobs!$A$2:$A$501,0)),""))</f>
        <v/>
      </c>
      <c r="C319" s="16"/>
      <c r="D319" s="17"/>
      <c r="E319" s="16"/>
      <c r="F319" s="16"/>
    </row>
    <row r="320" spans="1:6" x14ac:dyDescent="0.3">
      <c r="A320" s="16"/>
      <c r="B320" s="15" t="str">
        <f>IF($A320="","",IFERROR(INDEX(Jobs!$B$2:$B$501,MATCH($A320,Jobs!$A$2:$A$501,0)),""))</f>
        <v/>
      </c>
      <c r="C320" s="16"/>
      <c r="D320" s="17"/>
      <c r="E320" s="16"/>
      <c r="F320" s="16"/>
    </row>
    <row r="321" spans="1:6" x14ac:dyDescent="0.3">
      <c r="A321" s="16"/>
      <c r="B321" s="15" t="str">
        <f>IF($A321="","",IFERROR(INDEX(Jobs!$B$2:$B$501,MATCH($A321,Jobs!$A$2:$A$501,0)),""))</f>
        <v/>
      </c>
      <c r="C321" s="16"/>
      <c r="D321" s="17"/>
      <c r="E321" s="16"/>
      <c r="F321" s="16"/>
    </row>
    <row r="322" spans="1:6" x14ac:dyDescent="0.3">
      <c r="A322" s="16"/>
      <c r="B322" s="15" t="str">
        <f>IF($A322="","",IFERROR(INDEX(Jobs!$B$2:$B$501,MATCH($A322,Jobs!$A$2:$A$501,0)),""))</f>
        <v/>
      </c>
      <c r="C322" s="16"/>
      <c r="D322" s="17"/>
      <c r="E322" s="16"/>
      <c r="F322" s="16"/>
    </row>
    <row r="323" spans="1:6" x14ac:dyDescent="0.3">
      <c r="A323" s="16"/>
      <c r="B323" s="15" t="str">
        <f>IF($A323="","",IFERROR(INDEX(Jobs!$B$2:$B$501,MATCH($A323,Jobs!$A$2:$A$501,0)),""))</f>
        <v/>
      </c>
      <c r="C323" s="16"/>
      <c r="D323" s="17"/>
      <c r="E323" s="16"/>
      <c r="F323" s="16"/>
    </row>
    <row r="324" spans="1:6" x14ac:dyDescent="0.3">
      <c r="A324" s="16"/>
      <c r="B324" s="15" t="str">
        <f>IF($A324="","",IFERROR(INDEX(Jobs!$B$2:$B$501,MATCH($A324,Jobs!$A$2:$A$501,0)),""))</f>
        <v/>
      </c>
      <c r="C324" s="16"/>
      <c r="D324" s="17"/>
      <c r="E324" s="16"/>
      <c r="F324" s="16"/>
    </row>
    <row r="325" spans="1:6" x14ac:dyDescent="0.3">
      <c r="A325" s="16"/>
      <c r="B325" s="15" t="str">
        <f>IF($A325="","",IFERROR(INDEX(Jobs!$B$2:$B$501,MATCH($A325,Jobs!$A$2:$A$501,0)),""))</f>
        <v/>
      </c>
      <c r="C325" s="16"/>
      <c r="D325" s="17"/>
      <c r="E325" s="16"/>
      <c r="F325" s="16"/>
    </row>
    <row r="326" spans="1:6" x14ac:dyDescent="0.3">
      <c r="A326" s="16"/>
      <c r="B326" s="15" t="str">
        <f>IF($A326="","",IFERROR(INDEX(Jobs!$B$2:$B$501,MATCH($A326,Jobs!$A$2:$A$501,0)),""))</f>
        <v/>
      </c>
      <c r="C326" s="16"/>
      <c r="D326" s="17"/>
      <c r="E326" s="16"/>
      <c r="F326" s="16"/>
    </row>
    <row r="327" spans="1:6" x14ac:dyDescent="0.3">
      <c r="A327" s="16"/>
      <c r="B327" s="15" t="str">
        <f>IF($A327="","",IFERROR(INDEX(Jobs!$B$2:$B$501,MATCH($A327,Jobs!$A$2:$A$501,0)),""))</f>
        <v/>
      </c>
      <c r="C327" s="16"/>
      <c r="D327" s="17"/>
      <c r="E327" s="16"/>
      <c r="F327" s="16"/>
    </row>
    <row r="328" spans="1:6" x14ac:dyDescent="0.3">
      <c r="A328" s="16"/>
      <c r="B328" s="15" t="str">
        <f>IF($A328="","",IFERROR(INDEX(Jobs!$B$2:$B$501,MATCH($A328,Jobs!$A$2:$A$501,0)),""))</f>
        <v/>
      </c>
      <c r="C328" s="16"/>
      <c r="D328" s="17"/>
      <c r="E328" s="16"/>
      <c r="F328" s="16"/>
    </row>
    <row r="329" spans="1:6" x14ac:dyDescent="0.3">
      <c r="A329" s="16"/>
      <c r="B329" s="15" t="str">
        <f>IF($A329="","",IFERROR(INDEX(Jobs!$B$2:$B$501,MATCH($A329,Jobs!$A$2:$A$501,0)),""))</f>
        <v/>
      </c>
      <c r="C329" s="16"/>
      <c r="D329" s="17"/>
      <c r="E329" s="16"/>
      <c r="F329" s="16"/>
    </row>
    <row r="330" spans="1:6" x14ac:dyDescent="0.3">
      <c r="A330" s="16"/>
      <c r="B330" s="15" t="str">
        <f>IF($A330="","",IFERROR(INDEX(Jobs!$B$2:$B$501,MATCH($A330,Jobs!$A$2:$A$501,0)),""))</f>
        <v/>
      </c>
      <c r="C330" s="16"/>
      <c r="D330" s="17"/>
      <c r="E330" s="16"/>
      <c r="F330" s="16"/>
    </row>
    <row r="331" spans="1:6" x14ac:dyDescent="0.3">
      <c r="A331" s="16"/>
      <c r="B331" s="15" t="str">
        <f>IF($A331="","",IFERROR(INDEX(Jobs!$B$2:$B$501,MATCH($A331,Jobs!$A$2:$A$501,0)),""))</f>
        <v/>
      </c>
      <c r="C331" s="16"/>
      <c r="D331" s="17"/>
      <c r="E331" s="16"/>
      <c r="F331" s="16"/>
    </row>
    <row r="332" spans="1:6" x14ac:dyDescent="0.3">
      <c r="A332" s="16"/>
      <c r="B332" s="15" t="str">
        <f>IF($A332="","",IFERROR(INDEX(Jobs!$B$2:$B$501,MATCH($A332,Jobs!$A$2:$A$501,0)),""))</f>
        <v/>
      </c>
      <c r="C332" s="16"/>
      <c r="D332" s="17"/>
      <c r="E332" s="16"/>
      <c r="F332" s="16"/>
    </row>
    <row r="333" spans="1:6" x14ac:dyDescent="0.3">
      <c r="A333" s="16"/>
      <c r="B333" s="15" t="str">
        <f>IF($A333="","",IFERROR(INDEX(Jobs!$B$2:$B$501,MATCH($A333,Jobs!$A$2:$A$501,0)),""))</f>
        <v/>
      </c>
      <c r="C333" s="16"/>
      <c r="D333" s="17"/>
      <c r="E333" s="16"/>
      <c r="F333" s="16"/>
    </row>
    <row r="334" spans="1:6" x14ac:dyDescent="0.3">
      <c r="A334" s="16"/>
      <c r="B334" s="15" t="str">
        <f>IF($A334="","",IFERROR(INDEX(Jobs!$B$2:$B$501,MATCH($A334,Jobs!$A$2:$A$501,0)),""))</f>
        <v/>
      </c>
      <c r="C334" s="16"/>
      <c r="D334" s="17"/>
      <c r="E334" s="16"/>
      <c r="F334" s="16"/>
    </row>
    <row r="335" spans="1:6" x14ac:dyDescent="0.3">
      <c r="A335" s="16"/>
      <c r="B335" s="15" t="str">
        <f>IF($A335="","",IFERROR(INDEX(Jobs!$B$2:$B$501,MATCH($A335,Jobs!$A$2:$A$501,0)),""))</f>
        <v/>
      </c>
      <c r="C335" s="16"/>
      <c r="D335" s="17"/>
      <c r="E335" s="16"/>
      <c r="F335" s="16"/>
    </row>
    <row r="336" spans="1:6" x14ac:dyDescent="0.3">
      <c r="A336" s="16"/>
      <c r="B336" s="15" t="str">
        <f>IF($A336="","",IFERROR(INDEX(Jobs!$B$2:$B$501,MATCH($A336,Jobs!$A$2:$A$501,0)),""))</f>
        <v/>
      </c>
      <c r="C336" s="16"/>
      <c r="D336" s="17"/>
      <c r="E336" s="16"/>
      <c r="F336" s="16"/>
    </row>
    <row r="337" spans="1:6" x14ac:dyDescent="0.3">
      <c r="A337" s="16"/>
      <c r="B337" s="15" t="str">
        <f>IF($A337="","",IFERROR(INDEX(Jobs!$B$2:$B$501,MATCH($A337,Jobs!$A$2:$A$501,0)),""))</f>
        <v/>
      </c>
      <c r="C337" s="16"/>
      <c r="D337" s="17"/>
      <c r="E337" s="16"/>
      <c r="F337" s="16"/>
    </row>
    <row r="338" spans="1:6" x14ac:dyDescent="0.3">
      <c r="A338" s="16"/>
      <c r="B338" s="15" t="str">
        <f>IF($A338="","",IFERROR(INDEX(Jobs!$B$2:$B$501,MATCH($A338,Jobs!$A$2:$A$501,0)),""))</f>
        <v/>
      </c>
      <c r="C338" s="16"/>
      <c r="D338" s="17"/>
      <c r="E338" s="16"/>
      <c r="F338" s="16"/>
    </row>
    <row r="339" spans="1:6" x14ac:dyDescent="0.3">
      <c r="A339" s="16"/>
      <c r="B339" s="15" t="str">
        <f>IF($A339="","",IFERROR(INDEX(Jobs!$B$2:$B$501,MATCH($A339,Jobs!$A$2:$A$501,0)),""))</f>
        <v/>
      </c>
      <c r="C339" s="16"/>
      <c r="D339" s="17"/>
      <c r="E339" s="16"/>
      <c r="F339" s="16"/>
    </row>
    <row r="340" spans="1:6" x14ac:dyDescent="0.3">
      <c r="A340" s="16"/>
      <c r="B340" s="15" t="str">
        <f>IF($A340="","",IFERROR(INDEX(Jobs!$B$2:$B$501,MATCH($A340,Jobs!$A$2:$A$501,0)),""))</f>
        <v/>
      </c>
      <c r="C340" s="16"/>
      <c r="D340" s="17"/>
      <c r="E340" s="16"/>
      <c r="F340" s="16"/>
    </row>
    <row r="341" spans="1:6" x14ac:dyDescent="0.3">
      <c r="A341" s="16"/>
      <c r="B341" s="15" t="str">
        <f>IF($A341="","",IFERROR(INDEX(Jobs!$B$2:$B$501,MATCH($A341,Jobs!$A$2:$A$501,0)),""))</f>
        <v/>
      </c>
      <c r="C341" s="16"/>
      <c r="D341" s="17"/>
      <c r="E341" s="16"/>
      <c r="F341" s="16"/>
    </row>
    <row r="342" spans="1:6" x14ac:dyDescent="0.3">
      <c r="A342" s="16"/>
      <c r="B342" s="15" t="str">
        <f>IF($A342="","",IFERROR(INDEX(Jobs!$B$2:$B$501,MATCH($A342,Jobs!$A$2:$A$501,0)),""))</f>
        <v/>
      </c>
      <c r="C342" s="16"/>
      <c r="D342" s="17"/>
      <c r="E342" s="16"/>
      <c r="F342" s="16"/>
    </row>
    <row r="343" spans="1:6" x14ac:dyDescent="0.3">
      <c r="A343" s="16"/>
      <c r="B343" s="15" t="str">
        <f>IF($A343="","",IFERROR(INDEX(Jobs!$B$2:$B$501,MATCH($A343,Jobs!$A$2:$A$501,0)),""))</f>
        <v/>
      </c>
      <c r="C343" s="16"/>
      <c r="D343" s="17"/>
      <c r="E343" s="16"/>
      <c r="F343" s="16"/>
    </row>
    <row r="344" spans="1:6" x14ac:dyDescent="0.3">
      <c r="A344" s="16"/>
      <c r="B344" s="15" t="str">
        <f>IF($A344="","",IFERROR(INDEX(Jobs!$B$2:$B$501,MATCH($A344,Jobs!$A$2:$A$501,0)),""))</f>
        <v/>
      </c>
      <c r="C344" s="16"/>
      <c r="D344" s="17"/>
      <c r="E344" s="16"/>
      <c r="F344" s="16"/>
    </row>
    <row r="345" spans="1:6" x14ac:dyDescent="0.3">
      <c r="A345" s="16"/>
      <c r="B345" s="15" t="str">
        <f>IF($A345="","",IFERROR(INDEX(Jobs!$B$2:$B$501,MATCH($A345,Jobs!$A$2:$A$501,0)),""))</f>
        <v/>
      </c>
      <c r="C345" s="16"/>
      <c r="D345" s="17"/>
      <c r="E345" s="16"/>
      <c r="F345" s="16"/>
    </row>
    <row r="346" spans="1:6" x14ac:dyDescent="0.3">
      <c r="A346" s="16"/>
      <c r="B346" s="15" t="str">
        <f>IF($A346="","",IFERROR(INDEX(Jobs!$B$2:$B$501,MATCH($A346,Jobs!$A$2:$A$501,0)),""))</f>
        <v/>
      </c>
      <c r="C346" s="16"/>
      <c r="D346" s="17"/>
      <c r="E346" s="16"/>
      <c r="F346" s="16"/>
    </row>
    <row r="347" spans="1:6" x14ac:dyDescent="0.3">
      <c r="A347" s="16"/>
      <c r="B347" s="15" t="str">
        <f>IF($A347="","",IFERROR(INDEX(Jobs!$B$2:$B$501,MATCH($A347,Jobs!$A$2:$A$501,0)),""))</f>
        <v/>
      </c>
      <c r="C347" s="16"/>
      <c r="D347" s="17"/>
      <c r="E347" s="16"/>
      <c r="F347" s="16"/>
    </row>
    <row r="348" spans="1:6" x14ac:dyDescent="0.3">
      <c r="A348" s="16"/>
      <c r="B348" s="15" t="str">
        <f>IF($A348="","",IFERROR(INDEX(Jobs!$B$2:$B$501,MATCH($A348,Jobs!$A$2:$A$501,0)),""))</f>
        <v/>
      </c>
      <c r="C348" s="16"/>
      <c r="D348" s="17"/>
      <c r="E348" s="16"/>
      <c r="F348" s="16"/>
    </row>
    <row r="349" spans="1:6" x14ac:dyDescent="0.3">
      <c r="A349" s="16"/>
      <c r="B349" s="15" t="str">
        <f>IF($A349="","",IFERROR(INDEX(Jobs!$B$2:$B$501,MATCH($A349,Jobs!$A$2:$A$501,0)),""))</f>
        <v/>
      </c>
      <c r="C349" s="16"/>
      <c r="D349" s="17"/>
      <c r="E349" s="16"/>
      <c r="F349" s="16"/>
    </row>
    <row r="350" spans="1:6" x14ac:dyDescent="0.3">
      <c r="A350" s="16"/>
      <c r="B350" s="15" t="str">
        <f>IF($A350="","",IFERROR(INDEX(Jobs!$B$2:$B$501,MATCH($A350,Jobs!$A$2:$A$501,0)),""))</f>
        <v/>
      </c>
      <c r="C350" s="16"/>
      <c r="D350" s="17"/>
      <c r="E350" s="16"/>
      <c r="F350" s="16"/>
    </row>
    <row r="351" spans="1:6" x14ac:dyDescent="0.3">
      <c r="A351" s="16"/>
      <c r="B351" s="15" t="str">
        <f>IF($A351="","",IFERROR(INDEX(Jobs!$B$2:$B$501,MATCH($A351,Jobs!$A$2:$A$501,0)),""))</f>
        <v/>
      </c>
      <c r="C351" s="16"/>
      <c r="D351" s="17"/>
      <c r="E351" s="16"/>
      <c r="F351" s="16"/>
    </row>
    <row r="352" spans="1:6" x14ac:dyDescent="0.3">
      <c r="A352" s="16"/>
      <c r="B352" s="15" t="str">
        <f>IF($A352="","",IFERROR(INDEX(Jobs!$B$2:$B$501,MATCH($A352,Jobs!$A$2:$A$501,0)),""))</f>
        <v/>
      </c>
      <c r="C352" s="16"/>
      <c r="D352" s="17"/>
      <c r="E352" s="16"/>
      <c r="F352" s="16"/>
    </row>
    <row r="353" spans="1:6" x14ac:dyDescent="0.3">
      <c r="A353" s="16"/>
      <c r="B353" s="15" t="str">
        <f>IF($A353="","",IFERROR(INDEX(Jobs!$B$2:$B$501,MATCH($A353,Jobs!$A$2:$A$501,0)),""))</f>
        <v/>
      </c>
      <c r="C353" s="16"/>
      <c r="D353" s="17"/>
      <c r="E353" s="16"/>
      <c r="F353" s="16"/>
    </row>
    <row r="354" spans="1:6" x14ac:dyDescent="0.3">
      <c r="A354" s="16"/>
      <c r="B354" s="15" t="str">
        <f>IF($A354="","",IFERROR(INDEX(Jobs!$B$2:$B$501,MATCH($A354,Jobs!$A$2:$A$501,0)),""))</f>
        <v/>
      </c>
      <c r="C354" s="16"/>
      <c r="D354" s="17"/>
      <c r="E354" s="16"/>
      <c r="F354" s="16"/>
    </row>
    <row r="355" spans="1:6" x14ac:dyDescent="0.3">
      <c r="A355" s="16"/>
      <c r="B355" s="15" t="str">
        <f>IF($A355="","",IFERROR(INDEX(Jobs!$B$2:$B$501,MATCH($A355,Jobs!$A$2:$A$501,0)),""))</f>
        <v/>
      </c>
      <c r="C355" s="16"/>
      <c r="D355" s="17"/>
      <c r="E355" s="16"/>
      <c r="F355" s="16"/>
    </row>
    <row r="356" spans="1:6" x14ac:dyDescent="0.3">
      <c r="A356" s="16"/>
      <c r="B356" s="15" t="str">
        <f>IF($A356="","",IFERROR(INDEX(Jobs!$B$2:$B$501,MATCH($A356,Jobs!$A$2:$A$501,0)),""))</f>
        <v/>
      </c>
      <c r="C356" s="16"/>
      <c r="D356" s="17"/>
      <c r="E356" s="16"/>
      <c r="F356" s="16"/>
    </row>
    <row r="357" spans="1:6" x14ac:dyDescent="0.3">
      <c r="A357" s="16"/>
      <c r="B357" s="15" t="str">
        <f>IF($A357="","",IFERROR(INDEX(Jobs!$B$2:$B$501,MATCH($A357,Jobs!$A$2:$A$501,0)),""))</f>
        <v/>
      </c>
      <c r="C357" s="16"/>
      <c r="D357" s="17"/>
      <c r="E357" s="16"/>
      <c r="F357" s="16"/>
    </row>
    <row r="358" spans="1:6" x14ac:dyDescent="0.3">
      <c r="A358" s="16"/>
      <c r="B358" s="15" t="str">
        <f>IF($A358="","",IFERROR(INDEX(Jobs!$B$2:$B$501,MATCH($A358,Jobs!$A$2:$A$501,0)),""))</f>
        <v/>
      </c>
      <c r="C358" s="16"/>
      <c r="D358" s="17"/>
      <c r="E358" s="16"/>
      <c r="F358" s="16"/>
    </row>
    <row r="359" spans="1:6" x14ac:dyDescent="0.3">
      <c r="A359" s="16"/>
      <c r="B359" s="15" t="str">
        <f>IF($A359="","",IFERROR(INDEX(Jobs!$B$2:$B$501,MATCH($A359,Jobs!$A$2:$A$501,0)),""))</f>
        <v/>
      </c>
      <c r="C359" s="16"/>
      <c r="D359" s="17"/>
      <c r="E359" s="16"/>
      <c r="F359" s="16"/>
    </row>
    <row r="360" spans="1:6" x14ac:dyDescent="0.3">
      <c r="A360" s="16"/>
      <c r="B360" s="15" t="str">
        <f>IF($A360="","",IFERROR(INDEX(Jobs!$B$2:$B$501,MATCH($A360,Jobs!$A$2:$A$501,0)),""))</f>
        <v/>
      </c>
      <c r="C360" s="16"/>
      <c r="D360" s="17"/>
      <c r="E360" s="16"/>
      <c r="F360" s="16"/>
    </row>
    <row r="361" spans="1:6" x14ac:dyDescent="0.3">
      <c r="A361" s="16"/>
      <c r="B361" s="15" t="str">
        <f>IF($A361="","",IFERROR(INDEX(Jobs!$B$2:$B$501,MATCH($A361,Jobs!$A$2:$A$501,0)),""))</f>
        <v/>
      </c>
      <c r="C361" s="16"/>
      <c r="D361" s="17"/>
      <c r="E361" s="16"/>
      <c r="F361" s="16"/>
    </row>
    <row r="362" spans="1:6" x14ac:dyDescent="0.3">
      <c r="A362" s="16"/>
      <c r="B362" s="15" t="str">
        <f>IF($A362="","",IFERROR(INDEX(Jobs!$B$2:$B$501,MATCH($A362,Jobs!$A$2:$A$501,0)),""))</f>
        <v/>
      </c>
      <c r="C362" s="16"/>
      <c r="D362" s="17"/>
      <c r="E362" s="16"/>
      <c r="F362" s="16"/>
    </row>
    <row r="363" spans="1:6" x14ac:dyDescent="0.3">
      <c r="A363" s="16"/>
      <c r="B363" s="15" t="str">
        <f>IF($A363="","",IFERROR(INDEX(Jobs!$B$2:$B$501,MATCH($A363,Jobs!$A$2:$A$501,0)),""))</f>
        <v/>
      </c>
      <c r="C363" s="16"/>
      <c r="D363" s="17"/>
      <c r="E363" s="16"/>
      <c r="F363" s="16"/>
    </row>
    <row r="364" spans="1:6" x14ac:dyDescent="0.3">
      <c r="A364" s="16"/>
      <c r="B364" s="15" t="str">
        <f>IF($A364="","",IFERROR(INDEX(Jobs!$B$2:$B$501,MATCH($A364,Jobs!$A$2:$A$501,0)),""))</f>
        <v/>
      </c>
      <c r="C364" s="16"/>
      <c r="D364" s="17"/>
      <c r="E364" s="16"/>
      <c r="F364" s="16"/>
    </row>
    <row r="365" spans="1:6" x14ac:dyDescent="0.3">
      <c r="A365" s="16"/>
      <c r="B365" s="15" t="str">
        <f>IF($A365="","",IFERROR(INDEX(Jobs!$B$2:$B$501,MATCH($A365,Jobs!$A$2:$A$501,0)),""))</f>
        <v/>
      </c>
      <c r="C365" s="16"/>
      <c r="D365" s="17"/>
      <c r="E365" s="16"/>
      <c r="F365" s="16"/>
    </row>
    <row r="366" spans="1:6" x14ac:dyDescent="0.3">
      <c r="A366" s="16"/>
      <c r="B366" s="15" t="str">
        <f>IF($A366="","",IFERROR(INDEX(Jobs!$B$2:$B$501,MATCH($A366,Jobs!$A$2:$A$501,0)),""))</f>
        <v/>
      </c>
      <c r="C366" s="16"/>
      <c r="D366" s="17"/>
      <c r="E366" s="16"/>
      <c r="F366" s="16"/>
    </row>
    <row r="367" spans="1:6" x14ac:dyDescent="0.3">
      <c r="A367" s="16"/>
      <c r="B367" s="15" t="str">
        <f>IF($A367="","",IFERROR(INDEX(Jobs!$B$2:$B$501,MATCH($A367,Jobs!$A$2:$A$501,0)),""))</f>
        <v/>
      </c>
      <c r="C367" s="16"/>
      <c r="D367" s="17"/>
      <c r="E367" s="16"/>
      <c r="F367" s="16"/>
    </row>
    <row r="368" spans="1:6" x14ac:dyDescent="0.3">
      <c r="A368" s="16"/>
      <c r="B368" s="15" t="str">
        <f>IF($A368="","",IFERROR(INDEX(Jobs!$B$2:$B$501,MATCH($A368,Jobs!$A$2:$A$501,0)),""))</f>
        <v/>
      </c>
      <c r="C368" s="16"/>
      <c r="D368" s="17"/>
      <c r="E368" s="16"/>
      <c r="F368" s="16"/>
    </row>
    <row r="369" spans="1:6" x14ac:dyDescent="0.3">
      <c r="A369" s="16"/>
      <c r="B369" s="15" t="str">
        <f>IF($A369="","",IFERROR(INDEX(Jobs!$B$2:$B$501,MATCH($A369,Jobs!$A$2:$A$501,0)),""))</f>
        <v/>
      </c>
      <c r="C369" s="16"/>
      <c r="D369" s="17"/>
      <c r="E369" s="16"/>
      <c r="F369" s="16"/>
    </row>
    <row r="370" spans="1:6" x14ac:dyDescent="0.3">
      <c r="A370" s="16"/>
      <c r="B370" s="15" t="str">
        <f>IF($A370="","",IFERROR(INDEX(Jobs!$B$2:$B$501,MATCH($A370,Jobs!$A$2:$A$501,0)),""))</f>
        <v/>
      </c>
      <c r="C370" s="16"/>
      <c r="D370" s="17"/>
      <c r="E370" s="16"/>
      <c r="F370" s="16"/>
    </row>
    <row r="371" spans="1:6" x14ac:dyDescent="0.3">
      <c r="A371" s="16"/>
      <c r="B371" s="15" t="str">
        <f>IF($A371="","",IFERROR(INDEX(Jobs!$B$2:$B$501,MATCH($A371,Jobs!$A$2:$A$501,0)),""))</f>
        <v/>
      </c>
      <c r="C371" s="16"/>
      <c r="D371" s="17"/>
      <c r="E371" s="16"/>
      <c r="F371" s="16"/>
    </row>
    <row r="372" spans="1:6" x14ac:dyDescent="0.3">
      <c r="A372" s="16"/>
      <c r="B372" s="15" t="str">
        <f>IF($A372="","",IFERROR(INDEX(Jobs!$B$2:$B$501,MATCH($A372,Jobs!$A$2:$A$501,0)),""))</f>
        <v/>
      </c>
      <c r="C372" s="16"/>
      <c r="D372" s="17"/>
      <c r="E372" s="16"/>
      <c r="F372" s="16"/>
    </row>
    <row r="373" spans="1:6" x14ac:dyDescent="0.3">
      <c r="A373" s="16"/>
      <c r="B373" s="15" t="str">
        <f>IF($A373="","",IFERROR(INDEX(Jobs!$B$2:$B$501,MATCH($A373,Jobs!$A$2:$A$501,0)),""))</f>
        <v/>
      </c>
      <c r="C373" s="16"/>
      <c r="D373" s="17"/>
      <c r="E373" s="16"/>
      <c r="F373" s="16"/>
    </row>
    <row r="374" spans="1:6" x14ac:dyDescent="0.3">
      <c r="A374" s="16"/>
      <c r="B374" s="15" t="str">
        <f>IF($A374="","",IFERROR(INDEX(Jobs!$B$2:$B$501,MATCH($A374,Jobs!$A$2:$A$501,0)),""))</f>
        <v/>
      </c>
      <c r="C374" s="16"/>
      <c r="D374" s="17"/>
      <c r="E374" s="16"/>
      <c r="F374" s="16"/>
    </row>
    <row r="375" spans="1:6" x14ac:dyDescent="0.3">
      <c r="A375" s="16"/>
      <c r="B375" s="15" t="str">
        <f>IF($A375="","",IFERROR(INDEX(Jobs!$B$2:$B$501,MATCH($A375,Jobs!$A$2:$A$501,0)),""))</f>
        <v/>
      </c>
      <c r="C375" s="16"/>
      <c r="D375" s="17"/>
      <c r="E375" s="16"/>
      <c r="F375" s="16"/>
    </row>
    <row r="376" spans="1:6" x14ac:dyDescent="0.3">
      <c r="A376" s="16"/>
      <c r="B376" s="15" t="str">
        <f>IF($A376="","",IFERROR(INDEX(Jobs!$B$2:$B$501,MATCH($A376,Jobs!$A$2:$A$501,0)),""))</f>
        <v/>
      </c>
      <c r="C376" s="16"/>
      <c r="D376" s="17"/>
      <c r="E376" s="16"/>
      <c r="F376" s="16"/>
    </row>
    <row r="377" spans="1:6" x14ac:dyDescent="0.3">
      <c r="A377" s="16"/>
      <c r="B377" s="15" t="str">
        <f>IF($A377="","",IFERROR(INDEX(Jobs!$B$2:$B$501,MATCH($A377,Jobs!$A$2:$A$501,0)),""))</f>
        <v/>
      </c>
      <c r="C377" s="16"/>
      <c r="D377" s="17"/>
      <c r="E377" s="16"/>
      <c r="F377" s="16"/>
    </row>
    <row r="378" spans="1:6" x14ac:dyDescent="0.3">
      <c r="A378" s="16"/>
      <c r="B378" s="15" t="str">
        <f>IF($A378="","",IFERROR(INDEX(Jobs!$B$2:$B$501,MATCH($A378,Jobs!$A$2:$A$501,0)),""))</f>
        <v/>
      </c>
      <c r="C378" s="16"/>
      <c r="D378" s="17"/>
      <c r="E378" s="16"/>
      <c r="F378" s="16"/>
    </row>
    <row r="379" spans="1:6" x14ac:dyDescent="0.3">
      <c r="A379" s="16"/>
      <c r="B379" s="15" t="str">
        <f>IF($A379="","",IFERROR(INDEX(Jobs!$B$2:$B$501,MATCH($A379,Jobs!$A$2:$A$501,0)),""))</f>
        <v/>
      </c>
      <c r="C379" s="16"/>
      <c r="D379" s="17"/>
      <c r="E379" s="16"/>
      <c r="F379" s="16"/>
    </row>
    <row r="380" spans="1:6" x14ac:dyDescent="0.3">
      <c r="A380" s="16"/>
      <c r="B380" s="15" t="str">
        <f>IF($A380="","",IFERROR(INDEX(Jobs!$B$2:$B$501,MATCH($A380,Jobs!$A$2:$A$501,0)),""))</f>
        <v/>
      </c>
      <c r="C380" s="16"/>
      <c r="D380" s="17"/>
      <c r="E380" s="16"/>
      <c r="F380" s="16"/>
    </row>
    <row r="381" spans="1:6" x14ac:dyDescent="0.3">
      <c r="A381" s="16"/>
      <c r="B381" s="15" t="str">
        <f>IF($A381="","",IFERROR(INDEX(Jobs!$B$2:$B$501,MATCH($A381,Jobs!$A$2:$A$501,0)),""))</f>
        <v/>
      </c>
      <c r="C381" s="16"/>
      <c r="D381" s="17"/>
      <c r="E381" s="16"/>
      <c r="F381" s="16"/>
    </row>
    <row r="382" spans="1:6" x14ac:dyDescent="0.3">
      <c r="A382" s="16"/>
      <c r="B382" s="15" t="str">
        <f>IF($A382="","",IFERROR(INDEX(Jobs!$B$2:$B$501,MATCH($A382,Jobs!$A$2:$A$501,0)),""))</f>
        <v/>
      </c>
      <c r="C382" s="16"/>
      <c r="D382" s="17"/>
      <c r="E382" s="16"/>
      <c r="F382" s="16"/>
    </row>
    <row r="383" spans="1:6" x14ac:dyDescent="0.3">
      <c r="A383" s="16"/>
      <c r="B383" s="15" t="str">
        <f>IF($A383="","",IFERROR(INDEX(Jobs!$B$2:$B$501,MATCH($A383,Jobs!$A$2:$A$501,0)),""))</f>
        <v/>
      </c>
      <c r="C383" s="16"/>
      <c r="D383" s="17"/>
      <c r="E383" s="16"/>
      <c r="F383" s="16"/>
    </row>
    <row r="384" spans="1:6" x14ac:dyDescent="0.3">
      <c r="A384" s="16"/>
      <c r="B384" s="15" t="str">
        <f>IF($A384="","",IFERROR(INDEX(Jobs!$B$2:$B$501,MATCH($A384,Jobs!$A$2:$A$501,0)),""))</f>
        <v/>
      </c>
      <c r="C384" s="16"/>
      <c r="D384" s="17"/>
      <c r="E384" s="16"/>
      <c r="F384" s="16"/>
    </row>
    <row r="385" spans="1:6" x14ac:dyDescent="0.3">
      <c r="A385" s="16"/>
      <c r="B385" s="15" t="str">
        <f>IF($A385="","",IFERROR(INDEX(Jobs!$B$2:$B$501,MATCH($A385,Jobs!$A$2:$A$501,0)),""))</f>
        <v/>
      </c>
      <c r="C385" s="16"/>
      <c r="D385" s="17"/>
      <c r="E385" s="16"/>
      <c r="F385" s="16"/>
    </row>
    <row r="386" spans="1:6" x14ac:dyDescent="0.3">
      <c r="A386" s="16"/>
      <c r="B386" s="15" t="str">
        <f>IF($A386="","",IFERROR(INDEX(Jobs!$B$2:$B$501,MATCH($A386,Jobs!$A$2:$A$501,0)),""))</f>
        <v/>
      </c>
      <c r="C386" s="16"/>
      <c r="D386" s="17"/>
      <c r="E386" s="16"/>
      <c r="F386" s="16"/>
    </row>
    <row r="387" spans="1:6" x14ac:dyDescent="0.3">
      <c r="A387" s="16"/>
      <c r="B387" s="15" t="str">
        <f>IF($A387="","",IFERROR(INDEX(Jobs!$B$2:$B$501,MATCH($A387,Jobs!$A$2:$A$501,0)),""))</f>
        <v/>
      </c>
      <c r="C387" s="16"/>
      <c r="D387" s="17"/>
      <c r="E387" s="16"/>
      <c r="F387" s="16"/>
    </row>
    <row r="388" spans="1:6" x14ac:dyDescent="0.3">
      <c r="A388" s="16"/>
      <c r="B388" s="15" t="str">
        <f>IF($A388="","",IFERROR(INDEX(Jobs!$B$2:$B$501,MATCH($A388,Jobs!$A$2:$A$501,0)),""))</f>
        <v/>
      </c>
      <c r="C388" s="16"/>
      <c r="D388" s="17"/>
      <c r="E388" s="16"/>
      <c r="F388" s="16"/>
    </row>
    <row r="389" spans="1:6" x14ac:dyDescent="0.3">
      <c r="A389" s="16"/>
      <c r="B389" s="15" t="str">
        <f>IF($A389="","",IFERROR(INDEX(Jobs!$B$2:$B$501,MATCH($A389,Jobs!$A$2:$A$501,0)),""))</f>
        <v/>
      </c>
      <c r="C389" s="16"/>
      <c r="D389" s="17"/>
      <c r="E389" s="16"/>
      <c r="F389" s="16"/>
    </row>
    <row r="390" spans="1:6" x14ac:dyDescent="0.3">
      <c r="A390" s="16"/>
      <c r="B390" s="15" t="str">
        <f>IF($A390="","",IFERROR(INDEX(Jobs!$B$2:$B$501,MATCH($A390,Jobs!$A$2:$A$501,0)),""))</f>
        <v/>
      </c>
      <c r="C390" s="16"/>
      <c r="D390" s="17"/>
      <c r="E390" s="16"/>
      <c r="F390" s="16"/>
    </row>
    <row r="391" spans="1:6" x14ac:dyDescent="0.3">
      <c r="A391" s="16"/>
      <c r="B391" s="15" t="str">
        <f>IF($A391="","",IFERROR(INDEX(Jobs!$B$2:$B$501,MATCH($A391,Jobs!$A$2:$A$501,0)),""))</f>
        <v/>
      </c>
      <c r="C391" s="16"/>
      <c r="D391" s="17"/>
      <c r="E391" s="16"/>
      <c r="F391" s="16"/>
    </row>
    <row r="392" spans="1:6" x14ac:dyDescent="0.3">
      <c r="A392" s="16"/>
      <c r="B392" s="15" t="str">
        <f>IF($A392="","",IFERROR(INDEX(Jobs!$B$2:$B$501,MATCH($A392,Jobs!$A$2:$A$501,0)),""))</f>
        <v/>
      </c>
      <c r="C392" s="16"/>
      <c r="D392" s="17"/>
      <c r="E392" s="16"/>
      <c r="F392" s="16"/>
    </row>
    <row r="393" spans="1:6" x14ac:dyDescent="0.3">
      <c r="A393" s="16"/>
      <c r="B393" s="15" t="str">
        <f>IF($A393="","",IFERROR(INDEX(Jobs!$B$2:$B$501,MATCH($A393,Jobs!$A$2:$A$501,0)),""))</f>
        <v/>
      </c>
      <c r="C393" s="16"/>
      <c r="D393" s="17"/>
      <c r="E393" s="16"/>
      <c r="F393" s="16"/>
    </row>
    <row r="394" spans="1:6" x14ac:dyDescent="0.3">
      <c r="A394" s="16"/>
      <c r="B394" s="15" t="str">
        <f>IF($A394="","",IFERROR(INDEX(Jobs!$B$2:$B$501,MATCH($A394,Jobs!$A$2:$A$501,0)),""))</f>
        <v/>
      </c>
      <c r="C394" s="16"/>
      <c r="D394" s="17"/>
      <c r="E394" s="16"/>
      <c r="F394" s="16"/>
    </row>
    <row r="395" spans="1:6" x14ac:dyDescent="0.3">
      <c r="A395" s="16"/>
      <c r="B395" s="15" t="str">
        <f>IF($A395="","",IFERROR(INDEX(Jobs!$B$2:$B$501,MATCH($A395,Jobs!$A$2:$A$501,0)),""))</f>
        <v/>
      </c>
      <c r="C395" s="16"/>
      <c r="D395" s="17"/>
      <c r="E395" s="16"/>
      <c r="F395" s="16"/>
    </row>
    <row r="396" spans="1:6" x14ac:dyDescent="0.3">
      <c r="A396" s="16"/>
      <c r="B396" s="15" t="str">
        <f>IF($A396="","",IFERROR(INDEX(Jobs!$B$2:$B$501,MATCH($A396,Jobs!$A$2:$A$501,0)),""))</f>
        <v/>
      </c>
      <c r="C396" s="16"/>
      <c r="D396" s="17"/>
      <c r="E396" s="16"/>
      <c r="F396" s="16"/>
    </row>
    <row r="397" spans="1:6" x14ac:dyDescent="0.3">
      <c r="A397" s="16"/>
      <c r="B397" s="15" t="str">
        <f>IF($A397="","",IFERROR(INDEX(Jobs!$B$2:$B$501,MATCH($A397,Jobs!$A$2:$A$501,0)),""))</f>
        <v/>
      </c>
      <c r="C397" s="16"/>
      <c r="D397" s="17"/>
      <c r="E397" s="16"/>
      <c r="F397" s="16"/>
    </row>
    <row r="398" spans="1:6" x14ac:dyDescent="0.3">
      <c r="A398" s="16"/>
      <c r="B398" s="15" t="str">
        <f>IF($A398="","",IFERROR(INDEX(Jobs!$B$2:$B$501,MATCH($A398,Jobs!$A$2:$A$501,0)),""))</f>
        <v/>
      </c>
      <c r="C398" s="16"/>
      <c r="D398" s="17"/>
      <c r="E398" s="16"/>
      <c r="F398" s="16"/>
    </row>
    <row r="399" spans="1:6" x14ac:dyDescent="0.3">
      <c r="A399" s="16"/>
      <c r="B399" s="15" t="str">
        <f>IF($A399="","",IFERROR(INDEX(Jobs!$B$2:$B$501,MATCH($A399,Jobs!$A$2:$A$501,0)),""))</f>
        <v/>
      </c>
      <c r="C399" s="16"/>
      <c r="D399" s="17"/>
      <c r="E399" s="16"/>
      <c r="F399" s="16"/>
    </row>
    <row r="400" spans="1:6" x14ac:dyDescent="0.3">
      <c r="A400" s="16"/>
      <c r="B400" s="15" t="str">
        <f>IF($A400="","",IFERROR(INDEX(Jobs!$B$2:$B$501,MATCH($A400,Jobs!$A$2:$A$501,0)),""))</f>
        <v/>
      </c>
      <c r="C400" s="16"/>
      <c r="D400" s="17"/>
      <c r="E400" s="16"/>
      <c r="F400" s="16"/>
    </row>
    <row r="401" spans="1:6" x14ac:dyDescent="0.3">
      <c r="A401" s="16"/>
      <c r="B401" s="15" t="str">
        <f>IF($A401="","",IFERROR(INDEX(Jobs!$B$2:$B$501,MATCH($A401,Jobs!$A$2:$A$501,0)),""))</f>
        <v/>
      </c>
      <c r="C401" s="16"/>
      <c r="D401" s="17"/>
      <c r="E401" s="16"/>
      <c r="F401" s="16"/>
    </row>
    <row r="402" spans="1:6" x14ac:dyDescent="0.3">
      <c r="A402" s="16"/>
      <c r="B402" s="15" t="str">
        <f>IF($A402="","",IFERROR(INDEX(Jobs!$B$2:$B$501,MATCH($A402,Jobs!$A$2:$A$501,0)),""))</f>
        <v/>
      </c>
      <c r="C402" s="16"/>
      <c r="D402" s="17"/>
      <c r="E402" s="16"/>
      <c r="F402" s="16"/>
    </row>
    <row r="403" spans="1:6" x14ac:dyDescent="0.3">
      <c r="A403" s="16"/>
      <c r="B403" s="15" t="str">
        <f>IF($A403="","",IFERROR(INDEX(Jobs!$B$2:$B$501,MATCH($A403,Jobs!$A$2:$A$501,0)),""))</f>
        <v/>
      </c>
      <c r="C403" s="16"/>
      <c r="D403" s="17"/>
      <c r="E403" s="16"/>
      <c r="F403" s="16"/>
    </row>
    <row r="404" spans="1:6" x14ac:dyDescent="0.3">
      <c r="A404" s="16"/>
      <c r="B404" s="15" t="str">
        <f>IF($A404="","",IFERROR(INDEX(Jobs!$B$2:$B$501,MATCH($A404,Jobs!$A$2:$A$501,0)),""))</f>
        <v/>
      </c>
      <c r="C404" s="16"/>
      <c r="D404" s="17"/>
      <c r="E404" s="16"/>
      <c r="F404" s="16"/>
    </row>
    <row r="405" spans="1:6" x14ac:dyDescent="0.3">
      <c r="A405" s="16"/>
      <c r="B405" s="15" t="str">
        <f>IF($A405="","",IFERROR(INDEX(Jobs!$B$2:$B$501,MATCH($A405,Jobs!$A$2:$A$501,0)),""))</f>
        <v/>
      </c>
      <c r="C405" s="16"/>
      <c r="D405" s="17"/>
      <c r="E405" s="16"/>
      <c r="F405" s="16"/>
    </row>
    <row r="406" spans="1:6" x14ac:dyDescent="0.3">
      <c r="A406" s="16"/>
      <c r="B406" s="15" t="str">
        <f>IF($A406="","",IFERROR(INDEX(Jobs!$B$2:$B$501,MATCH($A406,Jobs!$A$2:$A$501,0)),""))</f>
        <v/>
      </c>
      <c r="C406" s="16"/>
      <c r="D406" s="17"/>
      <c r="E406" s="16"/>
      <c r="F406" s="16"/>
    </row>
    <row r="407" spans="1:6" x14ac:dyDescent="0.3">
      <c r="A407" s="16"/>
      <c r="B407" s="15" t="str">
        <f>IF($A407="","",IFERROR(INDEX(Jobs!$B$2:$B$501,MATCH($A407,Jobs!$A$2:$A$501,0)),""))</f>
        <v/>
      </c>
      <c r="C407" s="16"/>
      <c r="D407" s="17"/>
      <c r="E407" s="16"/>
      <c r="F407" s="16"/>
    </row>
    <row r="408" spans="1:6" x14ac:dyDescent="0.3">
      <c r="A408" s="16"/>
      <c r="B408" s="15" t="str">
        <f>IF($A408="","",IFERROR(INDEX(Jobs!$B$2:$B$501,MATCH($A408,Jobs!$A$2:$A$501,0)),""))</f>
        <v/>
      </c>
      <c r="C408" s="16"/>
      <c r="D408" s="17"/>
      <c r="E408" s="16"/>
      <c r="F408" s="16"/>
    </row>
    <row r="409" spans="1:6" x14ac:dyDescent="0.3">
      <c r="A409" s="16"/>
      <c r="B409" s="15" t="str">
        <f>IF($A409="","",IFERROR(INDEX(Jobs!$B$2:$B$501,MATCH($A409,Jobs!$A$2:$A$501,0)),""))</f>
        <v/>
      </c>
      <c r="C409" s="16"/>
      <c r="D409" s="17"/>
      <c r="E409" s="16"/>
      <c r="F409" s="16"/>
    </row>
    <row r="410" spans="1:6" x14ac:dyDescent="0.3">
      <c r="A410" s="16"/>
      <c r="B410" s="15" t="str">
        <f>IF($A410="","",IFERROR(INDEX(Jobs!$B$2:$B$501,MATCH($A410,Jobs!$A$2:$A$501,0)),""))</f>
        <v/>
      </c>
      <c r="C410" s="16"/>
      <c r="D410" s="17"/>
      <c r="E410" s="16"/>
      <c r="F410" s="16"/>
    </row>
    <row r="411" spans="1:6" x14ac:dyDescent="0.3">
      <c r="A411" s="16"/>
      <c r="B411" s="15" t="str">
        <f>IF($A411="","",IFERROR(INDEX(Jobs!$B$2:$B$501,MATCH($A411,Jobs!$A$2:$A$501,0)),""))</f>
        <v/>
      </c>
      <c r="C411" s="16"/>
      <c r="D411" s="17"/>
      <c r="E411" s="16"/>
      <c r="F411" s="16"/>
    </row>
    <row r="412" spans="1:6" x14ac:dyDescent="0.3">
      <c r="A412" s="16"/>
      <c r="B412" s="15" t="str">
        <f>IF($A412="","",IFERROR(INDEX(Jobs!$B$2:$B$501,MATCH($A412,Jobs!$A$2:$A$501,0)),""))</f>
        <v/>
      </c>
      <c r="C412" s="16"/>
      <c r="D412" s="17"/>
      <c r="E412" s="16"/>
      <c r="F412" s="16"/>
    </row>
    <row r="413" spans="1:6" x14ac:dyDescent="0.3">
      <c r="A413" s="16"/>
      <c r="B413" s="15" t="str">
        <f>IF($A413="","",IFERROR(INDEX(Jobs!$B$2:$B$501,MATCH($A413,Jobs!$A$2:$A$501,0)),""))</f>
        <v/>
      </c>
      <c r="C413" s="16"/>
      <c r="D413" s="17"/>
      <c r="E413" s="16"/>
      <c r="F413" s="16"/>
    </row>
    <row r="414" spans="1:6" x14ac:dyDescent="0.3">
      <c r="A414" s="16"/>
      <c r="B414" s="15" t="str">
        <f>IF($A414="","",IFERROR(INDEX(Jobs!$B$2:$B$501,MATCH($A414,Jobs!$A$2:$A$501,0)),""))</f>
        <v/>
      </c>
      <c r="C414" s="16"/>
      <c r="D414" s="17"/>
      <c r="E414" s="16"/>
      <c r="F414" s="16"/>
    </row>
    <row r="415" spans="1:6" x14ac:dyDescent="0.3">
      <c r="A415" s="16"/>
      <c r="B415" s="15" t="str">
        <f>IF($A415="","",IFERROR(INDEX(Jobs!$B$2:$B$501,MATCH($A415,Jobs!$A$2:$A$501,0)),""))</f>
        <v/>
      </c>
      <c r="C415" s="16"/>
      <c r="D415" s="17"/>
      <c r="E415" s="16"/>
      <c r="F415" s="16"/>
    </row>
    <row r="416" spans="1:6" x14ac:dyDescent="0.3">
      <c r="A416" s="16"/>
      <c r="B416" s="15" t="str">
        <f>IF($A416="","",IFERROR(INDEX(Jobs!$B$2:$B$501,MATCH($A416,Jobs!$A$2:$A$501,0)),""))</f>
        <v/>
      </c>
      <c r="C416" s="16"/>
      <c r="D416" s="17"/>
      <c r="E416" s="16"/>
      <c r="F416" s="16"/>
    </row>
    <row r="417" spans="1:6" x14ac:dyDescent="0.3">
      <c r="A417" s="16"/>
      <c r="B417" s="15" t="str">
        <f>IF($A417="","",IFERROR(INDEX(Jobs!$B$2:$B$501,MATCH($A417,Jobs!$A$2:$A$501,0)),""))</f>
        <v/>
      </c>
      <c r="C417" s="16"/>
      <c r="D417" s="17"/>
      <c r="E417" s="16"/>
      <c r="F417" s="16"/>
    </row>
    <row r="418" spans="1:6" x14ac:dyDescent="0.3">
      <c r="A418" s="16"/>
      <c r="B418" s="15" t="str">
        <f>IF($A418="","",IFERROR(INDEX(Jobs!$B$2:$B$501,MATCH($A418,Jobs!$A$2:$A$501,0)),""))</f>
        <v/>
      </c>
      <c r="C418" s="16"/>
      <c r="D418" s="17"/>
      <c r="E418" s="16"/>
      <c r="F418" s="16"/>
    </row>
    <row r="419" spans="1:6" x14ac:dyDescent="0.3">
      <c r="A419" s="16"/>
      <c r="B419" s="15" t="str">
        <f>IF($A419="","",IFERROR(INDEX(Jobs!$B$2:$B$501,MATCH($A419,Jobs!$A$2:$A$501,0)),""))</f>
        <v/>
      </c>
      <c r="C419" s="16"/>
      <c r="D419" s="17"/>
      <c r="E419" s="16"/>
      <c r="F419" s="16"/>
    </row>
    <row r="420" spans="1:6" x14ac:dyDescent="0.3">
      <c r="A420" s="16"/>
      <c r="B420" s="15" t="str">
        <f>IF($A420="","",IFERROR(INDEX(Jobs!$B$2:$B$501,MATCH($A420,Jobs!$A$2:$A$501,0)),""))</f>
        <v/>
      </c>
      <c r="C420" s="16"/>
      <c r="D420" s="17"/>
      <c r="E420" s="16"/>
      <c r="F420" s="16"/>
    </row>
    <row r="421" spans="1:6" x14ac:dyDescent="0.3">
      <c r="A421" s="16"/>
      <c r="B421" s="15" t="str">
        <f>IF($A421="","",IFERROR(INDEX(Jobs!$B$2:$B$501,MATCH($A421,Jobs!$A$2:$A$501,0)),""))</f>
        <v/>
      </c>
      <c r="C421" s="16"/>
      <c r="D421" s="17"/>
      <c r="E421" s="16"/>
      <c r="F421" s="16"/>
    </row>
    <row r="422" spans="1:6" x14ac:dyDescent="0.3">
      <c r="A422" s="16"/>
      <c r="B422" s="15" t="str">
        <f>IF($A422="","",IFERROR(INDEX(Jobs!$B$2:$B$501,MATCH($A422,Jobs!$A$2:$A$501,0)),""))</f>
        <v/>
      </c>
      <c r="C422" s="16"/>
      <c r="D422" s="17"/>
      <c r="E422" s="16"/>
      <c r="F422" s="16"/>
    </row>
    <row r="423" spans="1:6" x14ac:dyDescent="0.3">
      <c r="A423" s="16"/>
      <c r="B423" s="15" t="str">
        <f>IF($A423="","",IFERROR(INDEX(Jobs!$B$2:$B$501,MATCH($A423,Jobs!$A$2:$A$501,0)),""))</f>
        <v/>
      </c>
      <c r="C423" s="16"/>
      <c r="D423" s="17"/>
      <c r="E423" s="16"/>
      <c r="F423" s="16"/>
    </row>
    <row r="424" spans="1:6" x14ac:dyDescent="0.3">
      <c r="A424" s="16"/>
      <c r="B424" s="15" t="str">
        <f>IF($A424="","",IFERROR(INDEX(Jobs!$B$2:$B$501,MATCH($A424,Jobs!$A$2:$A$501,0)),""))</f>
        <v/>
      </c>
      <c r="C424" s="16"/>
      <c r="D424" s="17"/>
      <c r="E424" s="16"/>
      <c r="F424" s="16"/>
    </row>
    <row r="425" spans="1:6" x14ac:dyDescent="0.3">
      <c r="A425" s="16"/>
      <c r="B425" s="15" t="str">
        <f>IF($A425="","",IFERROR(INDEX(Jobs!$B$2:$B$501,MATCH($A425,Jobs!$A$2:$A$501,0)),""))</f>
        <v/>
      </c>
      <c r="C425" s="16"/>
      <c r="D425" s="17"/>
      <c r="E425" s="16"/>
      <c r="F425" s="16"/>
    </row>
    <row r="426" spans="1:6" x14ac:dyDescent="0.3">
      <c r="A426" s="16"/>
      <c r="B426" s="15" t="str">
        <f>IF($A426="","",IFERROR(INDEX(Jobs!$B$2:$B$501,MATCH($A426,Jobs!$A$2:$A$501,0)),""))</f>
        <v/>
      </c>
      <c r="C426" s="16"/>
      <c r="D426" s="17"/>
      <c r="E426" s="16"/>
      <c r="F426" s="16"/>
    </row>
    <row r="427" spans="1:6" x14ac:dyDescent="0.3">
      <c r="A427" s="16"/>
      <c r="B427" s="15" t="str">
        <f>IF($A427="","",IFERROR(INDEX(Jobs!$B$2:$B$501,MATCH($A427,Jobs!$A$2:$A$501,0)),""))</f>
        <v/>
      </c>
      <c r="C427" s="16"/>
      <c r="D427" s="17"/>
      <c r="E427" s="16"/>
      <c r="F427" s="16"/>
    </row>
    <row r="428" spans="1:6" x14ac:dyDescent="0.3">
      <c r="A428" s="16"/>
      <c r="B428" s="15" t="str">
        <f>IF($A428="","",IFERROR(INDEX(Jobs!$B$2:$B$501,MATCH($A428,Jobs!$A$2:$A$501,0)),""))</f>
        <v/>
      </c>
      <c r="C428" s="16"/>
      <c r="D428" s="17"/>
      <c r="E428" s="16"/>
      <c r="F428" s="16"/>
    </row>
    <row r="429" spans="1:6" x14ac:dyDescent="0.3">
      <c r="A429" s="16"/>
      <c r="B429" s="15" t="str">
        <f>IF($A429="","",IFERROR(INDEX(Jobs!$B$2:$B$501,MATCH($A429,Jobs!$A$2:$A$501,0)),""))</f>
        <v/>
      </c>
      <c r="C429" s="16"/>
      <c r="D429" s="17"/>
      <c r="E429" s="16"/>
      <c r="F429" s="16"/>
    </row>
    <row r="430" spans="1:6" x14ac:dyDescent="0.3">
      <c r="A430" s="16"/>
      <c r="B430" s="15" t="str">
        <f>IF($A430="","",IFERROR(INDEX(Jobs!$B$2:$B$501,MATCH($A430,Jobs!$A$2:$A$501,0)),""))</f>
        <v/>
      </c>
      <c r="C430" s="16"/>
      <c r="D430" s="17"/>
      <c r="E430" s="16"/>
      <c r="F430" s="16"/>
    </row>
    <row r="431" spans="1:6" x14ac:dyDescent="0.3">
      <c r="A431" s="16"/>
      <c r="B431" s="15" t="str">
        <f>IF($A431="","",IFERROR(INDEX(Jobs!$B$2:$B$501,MATCH($A431,Jobs!$A$2:$A$501,0)),""))</f>
        <v/>
      </c>
      <c r="C431" s="16"/>
      <c r="D431" s="17"/>
      <c r="E431" s="16"/>
      <c r="F431" s="16"/>
    </row>
    <row r="432" spans="1:6" x14ac:dyDescent="0.3">
      <c r="A432" s="16"/>
      <c r="B432" s="15" t="str">
        <f>IF($A432="","",IFERROR(INDEX(Jobs!$B$2:$B$501,MATCH($A432,Jobs!$A$2:$A$501,0)),""))</f>
        <v/>
      </c>
      <c r="C432" s="16"/>
      <c r="D432" s="17"/>
      <c r="E432" s="16"/>
      <c r="F432" s="16"/>
    </row>
    <row r="433" spans="1:6" x14ac:dyDescent="0.3">
      <c r="A433" s="16"/>
      <c r="B433" s="15" t="str">
        <f>IF($A433="","",IFERROR(INDEX(Jobs!$B$2:$B$501,MATCH($A433,Jobs!$A$2:$A$501,0)),""))</f>
        <v/>
      </c>
      <c r="C433" s="16"/>
      <c r="D433" s="17"/>
      <c r="E433" s="16"/>
      <c r="F433" s="16"/>
    </row>
    <row r="434" spans="1:6" x14ac:dyDescent="0.3">
      <c r="A434" s="16"/>
      <c r="B434" s="15" t="str">
        <f>IF($A434="","",IFERROR(INDEX(Jobs!$B$2:$B$501,MATCH($A434,Jobs!$A$2:$A$501,0)),""))</f>
        <v/>
      </c>
      <c r="C434" s="16"/>
      <c r="D434" s="17"/>
      <c r="E434" s="16"/>
      <c r="F434" s="16"/>
    </row>
    <row r="435" spans="1:6" x14ac:dyDescent="0.3">
      <c r="A435" s="16"/>
      <c r="B435" s="15" t="str">
        <f>IF($A435="","",IFERROR(INDEX(Jobs!$B$2:$B$501,MATCH($A435,Jobs!$A$2:$A$501,0)),""))</f>
        <v/>
      </c>
      <c r="C435" s="16"/>
      <c r="D435" s="17"/>
      <c r="E435" s="16"/>
      <c r="F435" s="16"/>
    </row>
    <row r="436" spans="1:6" x14ac:dyDescent="0.3">
      <c r="A436" s="16"/>
      <c r="B436" s="15" t="str">
        <f>IF($A436="","",IFERROR(INDEX(Jobs!$B$2:$B$501,MATCH($A436,Jobs!$A$2:$A$501,0)),""))</f>
        <v/>
      </c>
      <c r="C436" s="16"/>
      <c r="D436" s="17"/>
      <c r="E436" s="16"/>
      <c r="F436" s="16"/>
    </row>
    <row r="437" spans="1:6" x14ac:dyDescent="0.3">
      <c r="A437" s="16"/>
      <c r="B437" s="15" t="str">
        <f>IF($A437="","",IFERROR(INDEX(Jobs!$B$2:$B$501,MATCH($A437,Jobs!$A$2:$A$501,0)),""))</f>
        <v/>
      </c>
      <c r="C437" s="16"/>
      <c r="D437" s="17"/>
      <c r="E437" s="16"/>
      <c r="F437" s="16"/>
    </row>
    <row r="438" spans="1:6" x14ac:dyDescent="0.3">
      <c r="A438" s="16"/>
      <c r="B438" s="15" t="str">
        <f>IF($A438="","",IFERROR(INDEX(Jobs!$B$2:$B$501,MATCH($A438,Jobs!$A$2:$A$501,0)),""))</f>
        <v/>
      </c>
      <c r="C438" s="16"/>
      <c r="D438" s="17"/>
      <c r="E438" s="16"/>
      <c r="F438" s="16"/>
    </row>
    <row r="439" spans="1:6" x14ac:dyDescent="0.3">
      <c r="A439" s="16"/>
      <c r="B439" s="15" t="str">
        <f>IF($A439="","",IFERROR(INDEX(Jobs!$B$2:$B$501,MATCH($A439,Jobs!$A$2:$A$501,0)),""))</f>
        <v/>
      </c>
      <c r="C439" s="16"/>
      <c r="D439" s="17"/>
      <c r="E439" s="16"/>
      <c r="F439" s="16"/>
    </row>
    <row r="440" spans="1:6" x14ac:dyDescent="0.3">
      <c r="A440" s="16"/>
      <c r="B440" s="15" t="str">
        <f>IF($A440="","",IFERROR(INDEX(Jobs!$B$2:$B$501,MATCH($A440,Jobs!$A$2:$A$501,0)),""))</f>
        <v/>
      </c>
      <c r="C440" s="16"/>
      <c r="D440" s="17"/>
      <c r="E440" s="16"/>
      <c r="F440" s="16"/>
    </row>
    <row r="441" spans="1:6" x14ac:dyDescent="0.3">
      <c r="A441" s="16"/>
      <c r="B441" s="15" t="str">
        <f>IF($A441="","",IFERROR(INDEX(Jobs!$B$2:$B$501,MATCH($A441,Jobs!$A$2:$A$501,0)),""))</f>
        <v/>
      </c>
      <c r="C441" s="16"/>
      <c r="D441" s="17"/>
      <c r="E441" s="16"/>
      <c r="F441" s="16"/>
    </row>
    <row r="442" spans="1:6" x14ac:dyDescent="0.3">
      <c r="A442" s="16"/>
      <c r="B442" s="15" t="str">
        <f>IF($A442="","",IFERROR(INDEX(Jobs!$B$2:$B$501,MATCH($A442,Jobs!$A$2:$A$501,0)),""))</f>
        <v/>
      </c>
      <c r="C442" s="16"/>
      <c r="D442" s="17"/>
      <c r="E442" s="16"/>
      <c r="F442" s="16"/>
    </row>
    <row r="443" spans="1:6" x14ac:dyDescent="0.3">
      <c r="A443" s="16"/>
      <c r="B443" s="15" t="str">
        <f>IF($A443="","",IFERROR(INDEX(Jobs!$B$2:$B$501,MATCH($A443,Jobs!$A$2:$A$501,0)),""))</f>
        <v/>
      </c>
      <c r="C443" s="16"/>
      <c r="D443" s="17"/>
      <c r="E443" s="16"/>
      <c r="F443" s="16"/>
    </row>
    <row r="444" spans="1:6" x14ac:dyDescent="0.3">
      <c r="A444" s="16"/>
      <c r="B444" s="15" t="str">
        <f>IF($A444="","",IFERROR(INDEX(Jobs!$B$2:$B$501,MATCH($A444,Jobs!$A$2:$A$501,0)),""))</f>
        <v/>
      </c>
      <c r="C444" s="16"/>
      <c r="D444" s="17"/>
      <c r="E444" s="16"/>
      <c r="F444" s="16"/>
    </row>
    <row r="445" spans="1:6" x14ac:dyDescent="0.3">
      <c r="A445" s="16"/>
      <c r="B445" s="15" t="str">
        <f>IF($A445="","",IFERROR(INDEX(Jobs!$B$2:$B$501,MATCH($A445,Jobs!$A$2:$A$501,0)),""))</f>
        <v/>
      </c>
      <c r="C445" s="16"/>
      <c r="D445" s="17"/>
      <c r="E445" s="16"/>
      <c r="F445" s="16"/>
    </row>
    <row r="446" spans="1:6" x14ac:dyDescent="0.3">
      <c r="A446" s="16"/>
      <c r="B446" s="15" t="str">
        <f>IF($A446="","",IFERROR(INDEX(Jobs!$B$2:$B$501,MATCH($A446,Jobs!$A$2:$A$501,0)),""))</f>
        <v/>
      </c>
      <c r="C446" s="16"/>
      <c r="D446" s="17"/>
      <c r="E446" s="16"/>
      <c r="F446" s="16"/>
    </row>
    <row r="447" spans="1:6" x14ac:dyDescent="0.3">
      <c r="A447" s="16"/>
      <c r="B447" s="15" t="str">
        <f>IF($A447="","",IFERROR(INDEX(Jobs!$B$2:$B$501,MATCH($A447,Jobs!$A$2:$A$501,0)),""))</f>
        <v/>
      </c>
      <c r="C447" s="16"/>
      <c r="D447" s="17"/>
      <c r="E447" s="16"/>
      <c r="F447" s="16"/>
    </row>
    <row r="448" spans="1:6" x14ac:dyDescent="0.3">
      <c r="A448" s="16"/>
      <c r="B448" s="15" t="str">
        <f>IF($A448="","",IFERROR(INDEX(Jobs!$B$2:$B$501,MATCH($A448,Jobs!$A$2:$A$501,0)),""))</f>
        <v/>
      </c>
      <c r="C448" s="16"/>
      <c r="D448" s="17"/>
      <c r="E448" s="16"/>
      <c r="F448" s="16"/>
    </row>
    <row r="449" spans="1:6" x14ac:dyDescent="0.3">
      <c r="A449" s="16"/>
      <c r="B449" s="15" t="str">
        <f>IF($A449="","",IFERROR(INDEX(Jobs!$B$2:$B$501,MATCH($A449,Jobs!$A$2:$A$501,0)),""))</f>
        <v/>
      </c>
      <c r="C449" s="16"/>
      <c r="D449" s="17"/>
      <c r="E449" s="16"/>
      <c r="F449" s="16"/>
    </row>
    <row r="450" spans="1:6" x14ac:dyDescent="0.3">
      <c r="A450" s="16"/>
      <c r="B450" s="15" t="str">
        <f>IF($A450="","",IFERROR(INDEX(Jobs!$B$2:$B$501,MATCH($A450,Jobs!$A$2:$A$501,0)),""))</f>
        <v/>
      </c>
      <c r="C450" s="16"/>
      <c r="D450" s="17"/>
      <c r="E450" s="16"/>
      <c r="F450" s="16"/>
    </row>
    <row r="451" spans="1:6" x14ac:dyDescent="0.3">
      <c r="A451" s="16"/>
      <c r="B451" s="15" t="str">
        <f>IF($A451="","",IFERROR(INDEX(Jobs!$B$2:$B$501,MATCH($A451,Jobs!$A$2:$A$501,0)),""))</f>
        <v/>
      </c>
      <c r="C451" s="16"/>
      <c r="D451" s="17"/>
      <c r="E451" s="16"/>
      <c r="F451" s="16"/>
    </row>
    <row r="452" spans="1:6" x14ac:dyDescent="0.3">
      <c r="A452" s="16"/>
      <c r="B452" s="15" t="str">
        <f>IF($A452="","",IFERROR(INDEX(Jobs!$B$2:$B$501,MATCH($A452,Jobs!$A$2:$A$501,0)),""))</f>
        <v/>
      </c>
      <c r="C452" s="16"/>
      <c r="D452" s="17"/>
      <c r="E452" s="16"/>
      <c r="F452" s="16"/>
    </row>
    <row r="453" spans="1:6" x14ac:dyDescent="0.3">
      <c r="A453" s="16"/>
      <c r="B453" s="15" t="str">
        <f>IF($A453="","",IFERROR(INDEX(Jobs!$B$2:$B$501,MATCH($A453,Jobs!$A$2:$A$501,0)),""))</f>
        <v/>
      </c>
      <c r="C453" s="16"/>
      <c r="D453" s="17"/>
      <c r="E453" s="16"/>
      <c r="F453" s="16"/>
    </row>
    <row r="454" spans="1:6" x14ac:dyDescent="0.3">
      <c r="A454" s="16"/>
      <c r="B454" s="15" t="str">
        <f>IF($A454="","",IFERROR(INDEX(Jobs!$B$2:$B$501,MATCH($A454,Jobs!$A$2:$A$501,0)),""))</f>
        <v/>
      </c>
      <c r="C454" s="16"/>
      <c r="D454" s="17"/>
      <c r="E454" s="16"/>
      <c r="F454" s="16"/>
    </row>
    <row r="455" spans="1:6" x14ac:dyDescent="0.3">
      <c r="A455" s="16"/>
      <c r="B455" s="15" t="str">
        <f>IF($A455="","",IFERROR(INDEX(Jobs!$B$2:$B$501,MATCH($A455,Jobs!$A$2:$A$501,0)),""))</f>
        <v/>
      </c>
      <c r="C455" s="16"/>
      <c r="D455" s="17"/>
      <c r="E455" s="16"/>
      <c r="F455" s="16"/>
    </row>
    <row r="456" spans="1:6" x14ac:dyDescent="0.3">
      <c r="A456" s="16"/>
      <c r="B456" s="15" t="str">
        <f>IF($A456="","",IFERROR(INDEX(Jobs!$B$2:$B$501,MATCH($A456,Jobs!$A$2:$A$501,0)),""))</f>
        <v/>
      </c>
      <c r="C456" s="16"/>
      <c r="D456" s="17"/>
      <c r="E456" s="16"/>
      <c r="F456" s="16"/>
    </row>
    <row r="457" spans="1:6" x14ac:dyDescent="0.3">
      <c r="A457" s="16"/>
      <c r="B457" s="15" t="str">
        <f>IF($A457="","",IFERROR(INDEX(Jobs!$B$2:$B$501,MATCH($A457,Jobs!$A$2:$A$501,0)),""))</f>
        <v/>
      </c>
      <c r="C457" s="16"/>
      <c r="D457" s="17"/>
      <c r="E457" s="16"/>
      <c r="F457" s="16"/>
    </row>
    <row r="458" spans="1:6" x14ac:dyDescent="0.3">
      <c r="A458" s="16"/>
      <c r="B458" s="15" t="str">
        <f>IF($A458="","",IFERROR(INDEX(Jobs!$B$2:$B$501,MATCH($A458,Jobs!$A$2:$A$501,0)),""))</f>
        <v/>
      </c>
      <c r="C458" s="16"/>
      <c r="D458" s="17"/>
      <c r="E458" s="16"/>
      <c r="F458" s="16"/>
    </row>
    <row r="459" spans="1:6" x14ac:dyDescent="0.3">
      <c r="A459" s="16"/>
      <c r="B459" s="15" t="str">
        <f>IF($A459="","",IFERROR(INDEX(Jobs!$B$2:$B$501,MATCH($A459,Jobs!$A$2:$A$501,0)),""))</f>
        <v/>
      </c>
      <c r="C459" s="16"/>
      <c r="D459" s="17"/>
      <c r="E459" s="16"/>
      <c r="F459" s="16"/>
    </row>
    <row r="460" spans="1:6" x14ac:dyDescent="0.3">
      <c r="A460" s="16"/>
      <c r="B460" s="15" t="str">
        <f>IF($A460="","",IFERROR(INDEX(Jobs!$B$2:$B$501,MATCH($A460,Jobs!$A$2:$A$501,0)),""))</f>
        <v/>
      </c>
      <c r="C460" s="16"/>
      <c r="D460" s="17"/>
      <c r="E460" s="16"/>
      <c r="F460" s="16"/>
    </row>
    <row r="461" spans="1:6" x14ac:dyDescent="0.3">
      <c r="A461" s="16"/>
      <c r="B461" s="15" t="str">
        <f>IF($A461="","",IFERROR(INDEX(Jobs!$B$2:$B$501,MATCH($A461,Jobs!$A$2:$A$501,0)),""))</f>
        <v/>
      </c>
      <c r="C461" s="16"/>
      <c r="D461" s="17"/>
      <c r="E461" s="16"/>
      <c r="F461" s="16"/>
    </row>
    <row r="462" spans="1:6" x14ac:dyDescent="0.3">
      <c r="A462" s="16"/>
      <c r="B462" s="15" t="str">
        <f>IF($A462="","",IFERROR(INDEX(Jobs!$B$2:$B$501,MATCH($A462,Jobs!$A$2:$A$501,0)),""))</f>
        <v/>
      </c>
      <c r="C462" s="16"/>
      <c r="D462" s="17"/>
      <c r="E462" s="16"/>
      <c r="F462" s="16"/>
    </row>
    <row r="463" spans="1:6" x14ac:dyDescent="0.3">
      <c r="A463" s="16"/>
      <c r="B463" s="15" t="str">
        <f>IF($A463="","",IFERROR(INDEX(Jobs!$B$2:$B$501,MATCH($A463,Jobs!$A$2:$A$501,0)),""))</f>
        <v/>
      </c>
      <c r="C463" s="16"/>
      <c r="D463" s="17"/>
      <c r="E463" s="16"/>
      <c r="F463" s="16"/>
    </row>
    <row r="464" spans="1:6" x14ac:dyDescent="0.3">
      <c r="A464" s="16"/>
      <c r="B464" s="15" t="str">
        <f>IF($A464="","",IFERROR(INDEX(Jobs!$B$2:$B$501,MATCH($A464,Jobs!$A$2:$A$501,0)),""))</f>
        <v/>
      </c>
      <c r="C464" s="16"/>
      <c r="D464" s="17"/>
      <c r="E464" s="16"/>
      <c r="F464" s="16"/>
    </row>
    <row r="465" spans="1:6" x14ac:dyDescent="0.3">
      <c r="A465" s="16"/>
      <c r="B465" s="15" t="str">
        <f>IF($A465="","",IFERROR(INDEX(Jobs!$B$2:$B$501,MATCH($A465,Jobs!$A$2:$A$501,0)),""))</f>
        <v/>
      </c>
      <c r="C465" s="16"/>
      <c r="D465" s="17"/>
      <c r="E465" s="16"/>
      <c r="F465" s="16"/>
    </row>
    <row r="466" spans="1:6" x14ac:dyDescent="0.3">
      <c r="A466" s="16"/>
      <c r="B466" s="15" t="str">
        <f>IF($A466="","",IFERROR(INDEX(Jobs!$B$2:$B$501,MATCH($A466,Jobs!$A$2:$A$501,0)),""))</f>
        <v/>
      </c>
      <c r="C466" s="16"/>
      <c r="D466" s="17"/>
      <c r="E466" s="16"/>
      <c r="F466" s="16"/>
    </row>
    <row r="467" spans="1:6" x14ac:dyDescent="0.3">
      <c r="A467" s="16"/>
      <c r="B467" s="15" t="str">
        <f>IF($A467="","",IFERROR(INDEX(Jobs!$B$2:$B$501,MATCH($A467,Jobs!$A$2:$A$501,0)),""))</f>
        <v/>
      </c>
      <c r="C467" s="16"/>
      <c r="D467" s="17"/>
      <c r="E467" s="16"/>
      <c r="F467" s="16"/>
    </row>
    <row r="468" spans="1:6" x14ac:dyDescent="0.3">
      <c r="A468" s="16"/>
      <c r="B468" s="15" t="str">
        <f>IF($A468="","",IFERROR(INDEX(Jobs!$B$2:$B$501,MATCH($A468,Jobs!$A$2:$A$501,0)),""))</f>
        <v/>
      </c>
      <c r="C468" s="16"/>
      <c r="D468" s="17"/>
      <c r="E468" s="16"/>
      <c r="F468" s="16"/>
    </row>
    <row r="469" spans="1:6" x14ac:dyDescent="0.3">
      <c r="A469" s="16"/>
      <c r="B469" s="15" t="str">
        <f>IF($A469="","",IFERROR(INDEX(Jobs!$B$2:$B$501,MATCH($A469,Jobs!$A$2:$A$501,0)),""))</f>
        <v/>
      </c>
      <c r="C469" s="16"/>
      <c r="D469" s="17"/>
      <c r="E469" s="16"/>
      <c r="F469" s="16"/>
    </row>
    <row r="470" spans="1:6" x14ac:dyDescent="0.3">
      <c r="A470" s="16"/>
      <c r="B470" s="15" t="str">
        <f>IF($A470="","",IFERROR(INDEX(Jobs!$B$2:$B$501,MATCH($A470,Jobs!$A$2:$A$501,0)),""))</f>
        <v/>
      </c>
      <c r="C470" s="16"/>
      <c r="D470" s="17"/>
      <c r="E470" s="16"/>
      <c r="F470" s="16"/>
    </row>
    <row r="471" spans="1:6" x14ac:dyDescent="0.3">
      <c r="A471" s="16"/>
      <c r="B471" s="15" t="str">
        <f>IF($A471="","",IFERROR(INDEX(Jobs!$B$2:$B$501,MATCH($A471,Jobs!$A$2:$A$501,0)),""))</f>
        <v/>
      </c>
      <c r="C471" s="16"/>
      <c r="D471" s="17"/>
      <c r="E471" s="16"/>
      <c r="F471" s="16"/>
    </row>
    <row r="472" spans="1:6" x14ac:dyDescent="0.3">
      <c r="A472" s="16"/>
      <c r="B472" s="15" t="str">
        <f>IF($A472="","",IFERROR(INDEX(Jobs!$B$2:$B$501,MATCH($A472,Jobs!$A$2:$A$501,0)),""))</f>
        <v/>
      </c>
      <c r="C472" s="16"/>
      <c r="D472" s="17"/>
      <c r="E472" s="16"/>
      <c r="F472" s="16"/>
    </row>
    <row r="473" spans="1:6" x14ac:dyDescent="0.3">
      <c r="A473" s="16"/>
      <c r="B473" s="15" t="str">
        <f>IF($A473="","",IFERROR(INDEX(Jobs!$B$2:$B$501,MATCH($A473,Jobs!$A$2:$A$501,0)),""))</f>
        <v/>
      </c>
      <c r="C473" s="16"/>
      <c r="D473" s="17"/>
      <c r="E473" s="16"/>
      <c r="F473" s="16"/>
    </row>
    <row r="474" spans="1:6" x14ac:dyDescent="0.3">
      <c r="A474" s="16"/>
      <c r="B474" s="15" t="str">
        <f>IF($A474="","",IFERROR(INDEX(Jobs!$B$2:$B$501,MATCH($A474,Jobs!$A$2:$A$501,0)),""))</f>
        <v/>
      </c>
      <c r="C474" s="16"/>
      <c r="D474" s="17"/>
      <c r="E474" s="16"/>
      <c r="F474" s="16"/>
    </row>
    <row r="475" spans="1:6" x14ac:dyDescent="0.3">
      <c r="A475" s="16"/>
      <c r="B475" s="15" t="str">
        <f>IF($A475="","",IFERROR(INDEX(Jobs!$B$2:$B$501,MATCH($A475,Jobs!$A$2:$A$501,0)),""))</f>
        <v/>
      </c>
      <c r="C475" s="16"/>
      <c r="D475" s="17"/>
      <c r="E475" s="16"/>
      <c r="F475" s="16"/>
    </row>
    <row r="476" spans="1:6" x14ac:dyDescent="0.3">
      <c r="A476" s="16"/>
      <c r="B476" s="15" t="str">
        <f>IF($A476="","",IFERROR(INDEX(Jobs!$B$2:$B$501,MATCH($A476,Jobs!$A$2:$A$501,0)),""))</f>
        <v/>
      </c>
      <c r="C476" s="16"/>
      <c r="D476" s="17"/>
      <c r="E476" s="16"/>
      <c r="F476" s="16"/>
    </row>
    <row r="477" spans="1:6" x14ac:dyDescent="0.3">
      <c r="A477" s="16"/>
      <c r="B477" s="15" t="str">
        <f>IF($A477="","",IFERROR(INDEX(Jobs!$B$2:$B$501,MATCH($A477,Jobs!$A$2:$A$501,0)),""))</f>
        <v/>
      </c>
      <c r="C477" s="16"/>
      <c r="D477" s="17"/>
      <c r="E477" s="16"/>
      <c r="F477" s="16"/>
    </row>
    <row r="478" spans="1:6" x14ac:dyDescent="0.3">
      <c r="A478" s="16"/>
      <c r="B478" s="15" t="str">
        <f>IF($A478="","",IFERROR(INDEX(Jobs!$B$2:$B$501,MATCH($A478,Jobs!$A$2:$A$501,0)),""))</f>
        <v/>
      </c>
      <c r="C478" s="16"/>
      <c r="D478" s="17"/>
      <c r="E478" s="16"/>
      <c r="F478" s="16"/>
    </row>
    <row r="479" spans="1:6" x14ac:dyDescent="0.3">
      <c r="A479" s="16"/>
      <c r="B479" s="15" t="str">
        <f>IF($A479="","",IFERROR(INDEX(Jobs!$B$2:$B$501,MATCH($A479,Jobs!$A$2:$A$501,0)),""))</f>
        <v/>
      </c>
      <c r="C479" s="16"/>
      <c r="D479" s="17"/>
      <c r="E479" s="16"/>
      <c r="F479" s="16"/>
    </row>
    <row r="480" spans="1:6" x14ac:dyDescent="0.3">
      <c r="A480" s="16"/>
      <c r="B480" s="15" t="str">
        <f>IF($A480="","",IFERROR(INDEX(Jobs!$B$2:$B$501,MATCH($A480,Jobs!$A$2:$A$501,0)),""))</f>
        <v/>
      </c>
      <c r="C480" s="16"/>
      <c r="D480" s="17"/>
      <c r="E480" s="16"/>
      <c r="F480" s="16"/>
    </row>
    <row r="481" spans="1:6" x14ac:dyDescent="0.3">
      <c r="A481" s="16"/>
      <c r="B481" s="15" t="str">
        <f>IF($A481="","",IFERROR(INDEX(Jobs!$B$2:$B$501,MATCH($A481,Jobs!$A$2:$A$501,0)),""))</f>
        <v/>
      </c>
      <c r="C481" s="16"/>
      <c r="D481" s="17"/>
      <c r="E481" s="16"/>
      <c r="F481" s="16"/>
    </row>
    <row r="482" spans="1:6" x14ac:dyDescent="0.3">
      <c r="A482" s="16"/>
      <c r="B482" s="15" t="str">
        <f>IF($A482="","",IFERROR(INDEX(Jobs!$B$2:$B$501,MATCH($A482,Jobs!$A$2:$A$501,0)),""))</f>
        <v/>
      </c>
      <c r="C482" s="16"/>
      <c r="D482" s="17"/>
      <c r="E482" s="16"/>
      <c r="F482" s="16"/>
    </row>
    <row r="483" spans="1:6" x14ac:dyDescent="0.3">
      <c r="A483" s="16"/>
      <c r="B483" s="15" t="str">
        <f>IF($A483="","",IFERROR(INDEX(Jobs!$B$2:$B$501,MATCH($A483,Jobs!$A$2:$A$501,0)),""))</f>
        <v/>
      </c>
      <c r="C483" s="16"/>
      <c r="D483" s="17"/>
      <c r="E483" s="16"/>
      <c r="F483" s="16"/>
    </row>
    <row r="484" spans="1:6" x14ac:dyDescent="0.3">
      <c r="A484" s="16"/>
      <c r="B484" s="15" t="str">
        <f>IF($A484="","",IFERROR(INDEX(Jobs!$B$2:$B$501,MATCH($A484,Jobs!$A$2:$A$501,0)),""))</f>
        <v/>
      </c>
      <c r="C484" s="16"/>
      <c r="D484" s="17"/>
      <c r="E484" s="16"/>
      <c r="F484" s="16"/>
    </row>
    <row r="485" spans="1:6" x14ac:dyDescent="0.3">
      <c r="A485" s="16"/>
      <c r="B485" s="15" t="str">
        <f>IF($A485="","",IFERROR(INDEX(Jobs!$B$2:$B$501,MATCH($A485,Jobs!$A$2:$A$501,0)),""))</f>
        <v/>
      </c>
      <c r="C485" s="16"/>
      <c r="D485" s="17"/>
      <c r="E485" s="16"/>
      <c r="F485" s="16"/>
    </row>
    <row r="486" spans="1:6" x14ac:dyDescent="0.3">
      <c r="A486" s="16"/>
      <c r="B486" s="15" t="str">
        <f>IF($A486="","",IFERROR(INDEX(Jobs!$B$2:$B$501,MATCH($A486,Jobs!$A$2:$A$501,0)),""))</f>
        <v/>
      </c>
      <c r="C486" s="16"/>
      <c r="D486" s="17"/>
      <c r="E486" s="16"/>
      <c r="F486" s="16"/>
    </row>
    <row r="487" spans="1:6" x14ac:dyDescent="0.3">
      <c r="A487" s="16"/>
      <c r="B487" s="15" t="str">
        <f>IF($A487="","",IFERROR(INDEX(Jobs!$B$2:$B$501,MATCH($A487,Jobs!$A$2:$A$501,0)),""))</f>
        <v/>
      </c>
      <c r="C487" s="16"/>
      <c r="D487" s="17"/>
      <c r="E487" s="16"/>
      <c r="F487" s="16"/>
    </row>
    <row r="488" spans="1:6" x14ac:dyDescent="0.3">
      <c r="A488" s="16"/>
      <c r="B488" s="15" t="str">
        <f>IF($A488="","",IFERROR(INDEX(Jobs!$B$2:$B$501,MATCH($A488,Jobs!$A$2:$A$501,0)),""))</f>
        <v/>
      </c>
      <c r="C488" s="16"/>
      <c r="D488" s="17"/>
      <c r="E488" s="16"/>
      <c r="F488" s="16"/>
    </row>
    <row r="489" spans="1:6" x14ac:dyDescent="0.3">
      <c r="A489" s="16"/>
      <c r="B489" s="15" t="str">
        <f>IF($A489="","",IFERROR(INDEX(Jobs!$B$2:$B$501,MATCH($A489,Jobs!$A$2:$A$501,0)),""))</f>
        <v/>
      </c>
      <c r="C489" s="16"/>
      <c r="D489" s="17"/>
      <c r="E489" s="16"/>
      <c r="F489" s="16"/>
    </row>
    <row r="490" spans="1:6" x14ac:dyDescent="0.3">
      <c r="A490" s="16"/>
      <c r="B490" s="15" t="str">
        <f>IF($A490="","",IFERROR(INDEX(Jobs!$B$2:$B$501,MATCH($A490,Jobs!$A$2:$A$501,0)),""))</f>
        <v/>
      </c>
      <c r="C490" s="16"/>
      <c r="D490" s="17"/>
      <c r="E490" s="16"/>
      <c r="F490" s="16"/>
    </row>
    <row r="491" spans="1:6" x14ac:dyDescent="0.3">
      <c r="A491" s="16"/>
      <c r="B491" s="15" t="str">
        <f>IF($A491="","",IFERROR(INDEX(Jobs!$B$2:$B$501,MATCH($A491,Jobs!$A$2:$A$501,0)),""))</f>
        <v/>
      </c>
      <c r="C491" s="16"/>
      <c r="D491" s="17"/>
      <c r="E491" s="16"/>
      <c r="F491" s="16"/>
    </row>
    <row r="492" spans="1:6" x14ac:dyDescent="0.3">
      <c r="A492" s="16"/>
      <c r="B492" s="15" t="str">
        <f>IF($A492="","",IFERROR(INDEX(Jobs!$B$2:$B$501,MATCH($A492,Jobs!$A$2:$A$501,0)),""))</f>
        <v/>
      </c>
      <c r="C492" s="16"/>
      <c r="D492" s="17"/>
      <c r="E492" s="16"/>
      <c r="F492" s="16"/>
    </row>
    <row r="493" spans="1:6" x14ac:dyDescent="0.3">
      <c r="A493" s="16"/>
      <c r="B493" s="15" t="str">
        <f>IF($A493="","",IFERROR(INDEX(Jobs!$B$2:$B$501,MATCH($A493,Jobs!$A$2:$A$501,0)),""))</f>
        <v/>
      </c>
      <c r="C493" s="16"/>
      <c r="D493" s="17"/>
      <c r="E493" s="16"/>
      <c r="F493" s="16"/>
    </row>
    <row r="494" spans="1:6" x14ac:dyDescent="0.3">
      <c r="A494" s="16"/>
      <c r="B494" s="15" t="str">
        <f>IF($A494="","",IFERROR(INDEX(Jobs!$B$2:$B$501,MATCH($A494,Jobs!$A$2:$A$501,0)),""))</f>
        <v/>
      </c>
      <c r="C494" s="16"/>
      <c r="D494" s="17"/>
      <c r="E494" s="16"/>
      <c r="F494" s="16"/>
    </row>
    <row r="495" spans="1:6" x14ac:dyDescent="0.3">
      <c r="A495" s="16"/>
      <c r="B495" s="15" t="str">
        <f>IF($A495="","",IFERROR(INDEX(Jobs!$B$2:$B$501,MATCH($A495,Jobs!$A$2:$A$501,0)),""))</f>
        <v/>
      </c>
      <c r="C495" s="16"/>
      <c r="D495" s="17"/>
      <c r="E495" s="16"/>
      <c r="F495" s="16"/>
    </row>
    <row r="496" spans="1:6" x14ac:dyDescent="0.3">
      <c r="A496" s="16"/>
      <c r="B496" s="15" t="str">
        <f>IF($A496="","",IFERROR(INDEX(Jobs!$B$2:$B$501,MATCH($A496,Jobs!$A$2:$A$501,0)),""))</f>
        <v/>
      </c>
      <c r="C496" s="16"/>
      <c r="D496" s="17"/>
      <c r="E496" s="16"/>
      <c r="F496" s="16"/>
    </row>
    <row r="497" spans="1:6" x14ac:dyDescent="0.3">
      <c r="A497" s="16"/>
      <c r="B497" s="15" t="str">
        <f>IF($A497="","",IFERROR(INDEX(Jobs!$B$2:$B$501,MATCH($A497,Jobs!$A$2:$A$501,0)),""))</f>
        <v/>
      </c>
      <c r="C497" s="16"/>
      <c r="D497" s="17"/>
      <c r="E497" s="16"/>
      <c r="F497" s="16"/>
    </row>
    <row r="498" spans="1:6" x14ac:dyDescent="0.3">
      <c r="A498" s="16"/>
      <c r="B498" s="15" t="str">
        <f>IF($A498="","",IFERROR(INDEX(Jobs!$B$2:$B$501,MATCH($A498,Jobs!$A$2:$A$501,0)),""))</f>
        <v/>
      </c>
      <c r="C498" s="16"/>
      <c r="D498" s="17"/>
      <c r="E498" s="16"/>
      <c r="F498" s="16"/>
    </row>
    <row r="499" spans="1:6" x14ac:dyDescent="0.3">
      <c r="A499" s="16"/>
      <c r="B499" s="15" t="str">
        <f>IF($A499="","",IFERROR(INDEX(Jobs!$B$2:$B$501,MATCH($A499,Jobs!$A$2:$A$501,0)),""))</f>
        <v/>
      </c>
      <c r="C499" s="16"/>
      <c r="D499" s="17"/>
      <c r="E499" s="16"/>
      <c r="F499" s="16"/>
    </row>
    <row r="500" spans="1:6" x14ac:dyDescent="0.3">
      <c r="A500" s="16"/>
      <c r="B500" s="15" t="str">
        <f>IF($A500="","",IFERROR(INDEX(Jobs!$B$2:$B$501,MATCH($A500,Jobs!$A$2:$A$501,0)),""))</f>
        <v/>
      </c>
      <c r="C500" s="16"/>
      <c r="D500" s="17"/>
      <c r="E500" s="16"/>
      <c r="F500" s="16"/>
    </row>
    <row r="501" spans="1:6" x14ac:dyDescent="0.3">
      <c r="A501" s="16"/>
      <c r="B501" s="15" t="str">
        <f>IF($A501="","",IFERROR(INDEX(Jobs!$B$2:$B$501,MATCH($A501,Jobs!$A$2:$A$501,0)),""))</f>
        <v/>
      </c>
      <c r="C501" s="16"/>
      <c r="D501" s="17"/>
      <c r="E501" s="16"/>
      <c r="F501" s="16"/>
    </row>
  </sheetData>
  <sheetProtection sheet="1" formatCells="0" formatColumns="0" formatRows="0" selectLockedCells="1" sort="0" autoFilter="0"/>
  <autoFilter ref="A1:F501" xr:uid="{00000000-0009-0000-0000-000003000000}"/>
  <dataValidations count="2">
    <dataValidation type="list" allowBlank="1" showErrorMessage="1" errorTitle="Invalid entry" error="Choose a value from the dropdown list." promptTitle="Dropdown" prompt="Select from the list." sqref="A2:A501" xr:uid="{00000000-0002-0000-0300-000000000000}">
      <formula1>ValidJobIDs</formula1>
    </dataValidation>
    <dataValidation type="list" allowBlank="1" showErrorMessage="1" errorTitle="Invalid entry" error="Choose a value from the dropdown list." promptTitle="Dropdown" prompt="Select from the list." sqref="E2:E501" xr:uid="{00000000-0002-0000-0300-000001000000}">
      <formula1>TaskStatusList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J501"/>
  <sheetViews>
    <sheetView showGridLines="0"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" width="12.33203125" style="14" customWidth="1"/>
    <col min="2" max="2" width="18.21875" style="14" customWidth="1"/>
    <col min="3" max="3" width="16" style="14" customWidth="1"/>
    <col min="4" max="4" width="15.109375" style="14" customWidth="1"/>
    <col min="5" max="5" width="15.77734375" style="14" customWidth="1"/>
    <col min="6" max="6" width="19.88671875" style="14" customWidth="1"/>
    <col min="7" max="7" width="15.44140625" style="14" customWidth="1"/>
    <col min="8" max="8" width="22.109375" style="14" customWidth="1"/>
    <col min="9" max="9" width="21.5546875" style="14" customWidth="1"/>
    <col min="10" max="10" width="22.6640625" style="14" customWidth="1"/>
    <col min="11" max="16384" width="8.88671875" style="14"/>
  </cols>
  <sheetData>
    <row r="1" spans="1:10" x14ac:dyDescent="0.3">
      <c r="A1" s="21" t="s">
        <v>45</v>
      </c>
      <c r="B1" s="21" t="s">
        <v>46</v>
      </c>
      <c r="C1" s="21" t="s">
        <v>47</v>
      </c>
      <c r="D1" s="21" t="s">
        <v>48</v>
      </c>
      <c r="E1" s="21" t="s">
        <v>49</v>
      </c>
      <c r="F1" s="21" t="s">
        <v>50</v>
      </c>
      <c r="G1" s="13" t="s">
        <v>51</v>
      </c>
      <c r="H1" s="13" t="s">
        <v>52</v>
      </c>
      <c r="I1" s="13" t="s">
        <v>53</v>
      </c>
      <c r="J1" s="13" t="s">
        <v>54</v>
      </c>
    </row>
    <row r="2" spans="1:10" x14ac:dyDescent="0.3">
      <c r="A2" s="16" t="s">
        <v>77</v>
      </c>
      <c r="B2" s="16" t="s">
        <v>94</v>
      </c>
      <c r="C2" s="16" t="s">
        <v>55</v>
      </c>
      <c r="D2" s="16" t="s">
        <v>56</v>
      </c>
      <c r="E2" s="16" t="s">
        <v>89</v>
      </c>
      <c r="F2" s="16" t="s">
        <v>57</v>
      </c>
      <c r="G2" s="16" t="s">
        <v>87</v>
      </c>
      <c r="H2" s="16" t="s">
        <v>58</v>
      </c>
      <c r="I2" s="16"/>
      <c r="J2" s="16"/>
    </row>
    <row r="3" spans="1:10" x14ac:dyDescent="0.3">
      <c r="A3" s="16" t="s">
        <v>78</v>
      </c>
      <c r="B3" s="16" t="s">
        <v>96</v>
      </c>
      <c r="C3" s="16" t="s">
        <v>59</v>
      </c>
      <c r="D3" s="16" t="s">
        <v>60</v>
      </c>
      <c r="E3" s="16" t="s">
        <v>90</v>
      </c>
      <c r="F3" s="16" t="s">
        <v>61</v>
      </c>
      <c r="G3" s="16" t="s">
        <v>99</v>
      </c>
      <c r="H3" s="16" t="s">
        <v>62</v>
      </c>
      <c r="I3" s="16"/>
      <c r="J3" s="16"/>
    </row>
    <row r="4" spans="1:10" x14ac:dyDescent="0.3">
      <c r="A4" s="16" t="s">
        <v>79</v>
      </c>
      <c r="B4" s="16" t="s">
        <v>95</v>
      </c>
      <c r="C4" s="16" t="s">
        <v>63</v>
      </c>
      <c r="D4" s="16" t="s">
        <v>64</v>
      </c>
      <c r="E4" s="16" t="s">
        <v>91</v>
      </c>
      <c r="F4" s="16" t="s">
        <v>65</v>
      </c>
      <c r="G4" s="16" t="s">
        <v>100</v>
      </c>
      <c r="H4" s="16" t="s">
        <v>66</v>
      </c>
      <c r="I4" s="16"/>
      <c r="J4" s="16"/>
    </row>
    <row r="5" spans="1:10" x14ac:dyDescent="0.3">
      <c r="A5" s="16" t="s">
        <v>80</v>
      </c>
      <c r="B5" s="16" t="s">
        <v>97</v>
      </c>
      <c r="C5" s="16" t="s">
        <v>67</v>
      </c>
      <c r="D5" s="16" t="s">
        <v>68</v>
      </c>
      <c r="E5" s="16" t="s">
        <v>92</v>
      </c>
      <c r="F5" s="16" t="s">
        <v>69</v>
      </c>
      <c r="G5" s="16"/>
      <c r="H5" s="16" t="s">
        <v>70</v>
      </c>
      <c r="I5" s="16"/>
      <c r="J5" s="16"/>
    </row>
    <row r="6" spans="1:10" x14ac:dyDescent="0.3">
      <c r="A6" s="16" t="s">
        <v>81</v>
      </c>
      <c r="B6" s="16"/>
      <c r="C6" s="16" t="s">
        <v>71</v>
      </c>
      <c r="D6" s="16" t="s">
        <v>72</v>
      </c>
      <c r="E6" s="16" t="s">
        <v>93</v>
      </c>
      <c r="F6" s="16" t="s">
        <v>73</v>
      </c>
      <c r="G6" s="16"/>
      <c r="H6" s="16"/>
      <c r="I6" s="16"/>
      <c r="J6" s="16"/>
    </row>
    <row r="7" spans="1:10" x14ac:dyDescent="0.3">
      <c r="A7" s="16" t="s">
        <v>82</v>
      </c>
      <c r="B7" s="16"/>
      <c r="C7" s="16" t="s">
        <v>74</v>
      </c>
      <c r="D7" s="16" t="s">
        <v>75</v>
      </c>
      <c r="E7" s="16"/>
      <c r="F7" s="16" t="s">
        <v>76</v>
      </c>
      <c r="G7" s="16"/>
      <c r="H7" s="16"/>
      <c r="I7" s="16"/>
      <c r="J7" s="16"/>
    </row>
    <row r="8" spans="1:10" x14ac:dyDescent="0.3">
      <c r="A8" s="16" t="s">
        <v>83</v>
      </c>
      <c r="B8" s="16"/>
      <c r="C8" s="16" t="s">
        <v>76</v>
      </c>
      <c r="D8" s="16" t="s">
        <v>76</v>
      </c>
      <c r="E8" s="16"/>
      <c r="F8" s="16"/>
      <c r="G8" s="16"/>
      <c r="H8" s="16"/>
      <c r="I8" s="16"/>
      <c r="J8" s="16"/>
    </row>
    <row r="9" spans="1:10" x14ac:dyDescent="0.3">
      <c r="A9" s="16" t="s">
        <v>98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 spans="1:10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 spans="1:10" x14ac:dyDescent="0.3">
      <c r="A12" s="16"/>
      <c r="B12" s="16"/>
      <c r="C12" s="16"/>
      <c r="D12" s="16"/>
      <c r="F12" s="16"/>
      <c r="G12" s="16"/>
      <c r="H12" s="16"/>
      <c r="I12" s="16"/>
      <c r="J12" s="16"/>
    </row>
    <row r="13" spans="1:10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 spans="1:10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 spans="1:10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 spans="1:10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 spans="1:10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 spans="1:10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 spans="1:10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 spans="1:10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 spans="1:10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 spans="1:10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spans="1:10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 spans="1:10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10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 spans="1:10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10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10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10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10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 spans="1:10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 spans="1:10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 spans="1:10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0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spans="1:10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 spans="1:10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 spans="1:10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 spans="1:10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 spans="1:10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 spans="1:10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 spans="1:10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 spans="1:10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 spans="1:10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 spans="1:10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 spans="1:10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 spans="1:10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 spans="1:10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 spans="1:10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 spans="1:10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 spans="1:10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 spans="1:10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spans="1:10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 spans="1:10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 spans="1:10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 spans="1:10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10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 spans="1:10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 spans="1:10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 spans="1:10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10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spans="1:10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 spans="1:10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 spans="1:10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 spans="1:10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 spans="1:10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 spans="1:10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 spans="1:10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 spans="1:10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 spans="1:10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 spans="1:10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 spans="1:10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 spans="1:10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 spans="1:10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 spans="1:10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 spans="1:10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 spans="1:10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 spans="1:10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 spans="1:10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 spans="1:10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 spans="1:10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 spans="1:10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 spans="1:10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 spans="1:10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 spans="1:10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 spans="1:10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 spans="1:10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 spans="1:10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 spans="1:10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 spans="1:10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 spans="1:10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 spans="1:10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 spans="1:10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 spans="1:10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 spans="1:10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 spans="1:10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 spans="1:10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1:10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1:10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1:10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1:10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 spans="1:10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 spans="1:10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 spans="1:10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 spans="1:10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 spans="1:10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 spans="1:10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 spans="1:10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 spans="1:10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 spans="1:10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 spans="1:10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 spans="1:10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 spans="1:10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 spans="1:10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 spans="1:10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 spans="1:10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 spans="1:10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 spans="1:10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 spans="1:10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 spans="1:10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 spans="1:10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 spans="1:10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 spans="1:10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 spans="1:10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 spans="1:10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 spans="1:10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 spans="1:10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 spans="1:10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 spans="1:10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 spans="1:10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 spans="1:10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 spans="1:10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 spans="1:10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 spans="1:10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 spans="1:10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 spans="1:10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 spans="1:10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 spans="1:10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 spans="1:10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 spans="1:10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 spans="1:10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 spans="1:10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 spans="1:10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 spans="1:10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 spans="1:10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 spans="1:10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 spans="1:10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 spans="1:10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 spans="1:10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 spans="1:10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 spans="1:10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 spans="1:10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 spans="1:10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 spans="1:10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 spans="1:10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 spans="1:10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 spans="1:10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 spans="1:10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 spans="1:10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 spans="1:10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 spans="1:10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 spans="1:10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 spans="1:10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 spans="1:10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 spans="1:10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 spans="1:10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 spans="1:10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 spans="1:10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 spans="1:10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 spans="1:10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 spans="1:10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 spans="1:10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 spans="1:10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 spans="1:10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 spans="1:10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 spans="1:10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 spans="1:10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 spans="1:10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 spans="1:10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 spans="1:10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 spans="1:10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 spans="1:10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 spans="1:10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 spans="1:10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 spans="1:10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 spans="1:10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 spans="1:10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 spans="1:10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 spans="1:10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 spans="1:10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 spans="1:10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 spans="1:10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 spans="1:10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 spans="1:10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 spans="1:10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 spans="1:10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 spans="1:10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 spans="1:10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 spans="1:10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 spans="1:10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 spans="1:10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 spans="1:10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 spans="1:10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 spans="1:10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 spans="1:10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 spans="1:10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 spans="1:10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 spans="1:10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 spans="1:10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 spans="1:10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 spans="1:10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 spans="1:10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 spans="1:10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 spans="1:10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 spans="1:10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 spans="1:10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 spans="1:10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 spans="1:10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 spans="1:10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 spans="1:10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 spans="1:10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 spans="1:10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 spans="1:10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 spans="1:10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 spans="1:10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 spans="1:10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 spans="1:10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 spans="1:10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 spans="1:10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 spans="1:10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 spans="1:10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 spans="1:10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 spans="1:10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 spans="1:10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 spans="1:10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 spans="1:10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 spans="1:10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 spans="1:10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 spans="1:10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 spans="1:10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 spans="1:10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 spans="1:10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 spans="1:10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 spans="1:10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 spans="1:10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 spans="1:10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 spans="1:10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 spans="1:10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 spans="1:10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 spans="1:10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 spans="1:10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 spans="1:10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 spans="1:10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 spans="1:10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 spans="1:10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 spans="1:10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 spans="1:10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 spans="1:10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 spans="1:10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 spans="1:10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 spans="1:10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 spans="1:10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 spans="1:10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 spans="1:10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 spans="1:10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 spans="1:10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 spans="1:10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 spans="1:10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 spans="1:10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 spans="1:10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 spans="1:10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 spans="1:10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 spans="1:10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 spans="1:10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 spans="1:10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 spans="1:10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 spans="1:10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 spans="1:10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 spans="1:10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 spans="1:10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 spans="1:10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 spans="1:10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 spans="1:10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 spans="1:10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 spans="1:10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 spans="1:10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 spans="1:10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 spans="1:10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 spans="1:10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 spans="1:10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</row>
    <row r="345" spans="1:10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</row>
    <row r="346" spans="1:10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</row>
    <row r="347" spans="1:10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</row>
    <row r="348" spans="1:10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</row>
    <row r="349" spans="1:10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</row>
    <row r="350" spans="1:10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</row>
    <row r="351" spans="1:10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</row>
    <row r="352" spans="1:10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</row>
    <row r="353" spans="1:10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</row>
    <row r="354" spans="1:10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</row>
    <row r="355" spans="1:10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</row>
    <row r="356" spans="1:10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</row>
    <row r="357" spans="1:10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</row>
    <row r="358" spans="1:10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</row>
    <row r="359" spans="1:10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</row>
    <row r="360" spans="1:10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</row>
    <row r="361" spans="1:10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</row>
    <row r="362" spans="1:10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</row>
    <row r="363" spans="1:10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</row>
    <row r="364" spans="1:10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</row>
    <row r="365" spans="1:10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</row>
    <row r="366" spans="1:10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</row>
    <row r="368" spans="1:10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</row>
    <row r="369" spans="1:10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</row>
    <row r="370" spans="1:10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</row>
    <row r="371" spans="1:10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</row>
    <row r="372" spans="1:10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</row>
    <row r="373" spans="1:10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</row>
    <row r="374" spans="1:10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</row>
    <row r="375" spans="1:10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</row>
    <row r="376" spans="1:10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</row>
    <row r="377" spans="1:10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</row>
    <row r="378" spans="1:10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</row>
    <row r="379" spans="1:10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</row>
    <row r="380" spans="1:10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</row>
    <row r="381" spans="1:10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</row>
    <row r="382" spans="1:10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</row>
    <row r="383" spans="1:10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</row>
    <row r="384" spans="1:10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</row>
    <row r="385" spans="1:10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</row>
    <row r="386" spans="1:10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</row>
    <row r="387" spans="1:10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</row>
    <row r="388" spans="1:10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</row>
    <row r="389" spans="1:10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</row>
    <row r="390" spans="1:10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</row>
    <row r="391" spans="1:10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</row>
    <row r="392" spans="1:10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</row>
    <row r="393" spans="1:10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</row>
    <row r="394" spans="1:10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</row>
    <row r="395" spans="1:10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</row>
    <row r="396" spans="1:10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</row>
    <row r="397" spans="1:10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</row>
    <row r="398" spans="1:10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</row>
    <row r="399" spans="1:10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</row>
    <row r="400" spans="1:10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</row>
    <row r="401" spans="1:10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</row>
    <row r="402" spans="1:10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</row>
    <row r="403" spans="1:10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</row>
    <row r="404" spans="1:10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</row>
    <row r="405" spans="1:10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</row>
    <row r="406" spans="1:10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</row>
    <row r="407" spans="1:10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</row>
    <row r="408" spans="1:10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</row>
    <row r="409" spans="1:10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</row>
    <row r="410" spans="1:10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</row>
    <row r="411" spans="1:10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</row>
    <row r="412" spans="1:10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</row>
    <row r="413" spans="1:10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</row>
    <row r="414" spans="1:10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</row>
    <row r="415" spans="1:10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</row>
    <row r="416" spans="1:10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</row>
    <row r="417" spans="1:10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</row>
    <row r="418" spans="1:10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</row>
    <row r="419" spans="1:10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</row>
    <row r="420" spans="1:10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</row>
    <row r="421" spans="1:10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</row>
    <row r="422" spans="1:10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</row>
    <row r="423" spans="1:10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</row>
    <row r="425" spans="1:10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</row>
    <row r="426" spans="1:10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</row>
    <row r="427" spans="1:10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</row>
    <row r="428" spans="1:10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</row>
    <row r="429" spans="1:10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</row>
    <row r="430" spans="1:10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</row>
    <row r="431" spans="1:10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</row>
    <row r="432" spans="1:10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</row>
    <row r="433" spans="1:10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</row>
    <row r="434" spans="1:10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</row>
    <row r="435" spans="1:10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</row>
    <row r="436" spans="1:10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</row>
    <row r="437" spans="1:10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</row>
    <row r="438" spans="1:10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</row>
    <row r="439" spans="1:10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</row>
    <row r="440" spans="1:10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</row>
    <row r="441" spans="1:10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</row>
    <row r="442" spans="1:10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</row>
    <row r="443" spans="1:10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</row>
    <row r="444" spans="1:10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</row>
    <row r="445" spans="1:10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</row>
    <row r="446" spans="1:10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</row>
    <row r="447" spans="1:10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</row>
    <row r="448" spans="1:10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</row>
    <row r="449" spans="1:10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</row>
    <row r="450" spans="1:10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</row>
    <row r="451" spans="1:10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</row>
    <row r="452" spans="1:10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</row>
    <row r="453" spans="1:10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</row>
    <row r="454" spans="1:10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</row>
    <row r="455" spans="1:10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</row>
    <row r="456" spans="1:10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</row>
    <row r="457" spans="1:10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</row>
    <row r="458" spans="1:10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</row>
    <row r="459" spans="1:10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</row>
    <row r="460" spans="1:10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</row>
    <row r="461" spans="1:10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</row>
    <row r="462" spans="1:10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</row>
    <row r="463" spans="1:10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</row>
    <row r="464" spans="1:10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</row>
    <row r="465" spans="1:10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</row>
    <row r="466" spans="1:10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</row>
    <row r="467" spans="1:10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</row>
    <row r="468" spans="1:10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</row>
    <row r="469" spans="1:10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</row>
    <row r="470" spans="1:10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</row>
    <row r="471" spans="1:10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</row>
    <row r="472" spans="1:10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</row>
    <row r="473" spans="1:10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</row>
    <row r="474" spans="1:10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</row>
    <row r="475" spans="1:10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</row>
    <row r="476" spans="1:10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</row>
    <row r="477" spans="1:10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</row>
    <row r="478" spans="1:10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</row>
    <row r="479" spans="1:10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</row>
    <row r="480" spans="1:10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0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</row>
    <row r="482" spans="1:10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</row>
    <row r="483" spans="1:10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</row>
    <row r="484" spans="1:10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</row>
    <row r="485" spans="1:10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</row>
    <row r="486" spans="1:10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</row>
    <row r="487" spans="1:10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</row>
    <row r="488" spans="1:10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</row>
    <row r="489" spans="1:10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</row>
    <row r="490" spans="1:10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</row>
    <row r="491" spans="1:10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</row>
    <row r="492" spans="1:10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</row>
    <row r="493" spans="1:10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</row>
    <row r="494" spans="1:10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</row>
    <row r="495" spans="1:10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</row>
    <row r="496" spans="1:10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</row>
    <row r="497" spans="1:10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</row>
    <row r="498" spans="1:10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</row>
    <row r="499" spans="1:10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</row>
    <row r="500" spans="1:10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</row>
    <row r="501" spans="1:10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</row>
  </sheetData>
  <sheetProtection sheet="1" formatCells="0" formatColumns="0" formatRows="0" selectLockedCells="1" sort="0" autoFilter="0"/>
  <autoFilter ref="A1:J501" xr:uid="{00000000-0009-0000-0000-000004000000}"/>
  <pageMargins left="0.75" right="0.75" top="1" bottom="1" header="0.5" footer="0.5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Dashboard</vt:lpstr>
      <vt:lpstr>Jobs</vt:lpstr>
      <vt:lpstr>Payments</vt:lpstr>
      <vt:lpstr>Tasks</vt:lpstr>
      <vt:lpstr>Lists</vt:lpstr>
      <vt:lpstr>ClientSourceList</vt:lpstr>
      <vt:lpstr>JobStatusList</vt:lpstr>
      <vt:lpstr>JobTypeList</vt:lpstr>
      <vt:lpstr>PaymentMethodList</vt:lpstr>
      <vt:lpstr>PaymentStatusList</vt:lpstr>
      <vt:lpstr>StaffList</vt:lpstr>
      <vt:lpstr>TaskStatusList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asusr57000@outlook.com</cp:lastModifiedBy>
  <dcterms:created xsi:type="dcterms:W3CDTF">2026-06-19T15:09:14Z</dcterms:created>
  <dcterms:modified xsi:type="dcterms:W3CDTF">2026-06-28T15:30:44Z</dcterms:modified>
</cp:coreProperties>
</file>