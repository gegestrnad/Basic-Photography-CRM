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2\_Hermes-Main-Dir\_Stuff\"/>
    </mc:Choice>
  </mc:AlternateContent>
  <xr:revisionPtr revIDLastSave="0" documentId="13_ncr:1_{31C7AAD1-FDFA-41D6-9F93-3CA3C3ED95C8}" xr6:coauthVersionLast="47" xr6:coauthVersionMax="47" xr10:uidLastSave="{00000000-0000-0000-0000-000000000000}"/>
  <bookViews>
    <workbookView xWindow="-108" yWindow="-108" windowWidth="23256" windowHeight="12456" xr2:uid="{4F01762F-84F8-49EF-8CA0-BE15BC083397}"/>
  </bookViews>
  <sheets>
    <sheet name="Dist Ca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6" i="1" s="1"/>
  <c r="B17" i="1"/>
  <c r="C9" i="1" l="1"/>
  <c r="C5" i="1"/>
  <c r="C8" i="1"/>
  <c r="C7" i="1"/>
  <c r="H7" i="1"/>
  <c r="H3" i="1"/>
  <c r="G3" i="1"/>
  <c r="H5" i="1" l="1"/>
  <c r="G7" i="1"/>
  <c r="G5" i="1"/>
  <c r="F7" i="1"/>
  <c r="I6" i="1" s="1"/>
  <c r="F3" i="1" l="1"/>
  <c r="I2" i="1" s="1"/>
  <c r="F5" i="1"/>
  <c r="I4" i="1" s="1"/>
  <c r="I8" i="1" l="1"/>
</calcChain>
</file>

<file path=xl/sharedStrings.xml><?xml version="1.0" encoding="utf-8"?>
<sst xmlns="http://schemas.openxmlformats.org/spreadsheetml/2006/main" count="19" uniqueCount="13">
  <si>
    <t>Photographer A</t>
  </si>
  <si>
    <t>Photographer B</t>
  </si>
  <si>
    <t>Manager / Client Relations</t>
  </si>
  <si>
    <t>Photo Editor</t>
  </si>
  <si>
    <t>Total Verification Check:</t>
  </si>
  <si>
    <t>Roni</t>
  </si>
  <si>
    <t>Sude</t>
  </si>
  <si>
    <t>Gege</t>
  </si>
  <si>
    <t>RnG Photography Wage Distribution Calculator</t>
  </si>
  <si>
    <t>Printing</t>
  </si>
  <si>
    <t>General Staff / Operational &amp; Misc</t>
  </si>
  <si>
    <t>Rental Gears/Lighting/etc</t>
  </si>
  <si>
    <t>Enter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</si>
</sst>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"/>
    <numFmt numFmtId="165" formatCode="\T\o\t\a\l\ \=\ [$Rp-421]\.#,##0"/>
    <numFmt numFmtId="166" formatCode="[$Rp-421]\.#,##0"/>
  </numFmts>
  <fonts count="8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0" fontId="3" fillId="3" borderId="11" xfId="0" applyNumberFormat="1" applyFont="1" applyFill="1" applyBorder="1" applyAlignment="1" applyProtection="1">
      <alignment horizontal="center" vertical="center"/>
      <protection locked="0"/>
    </xf>
    <xf numFmtId="10" fontId="3" fillId="3" borderId="1" xfId="0" applyNumberFormat="1" applyFont="1" applyFill="1" applyBorder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166" fontId="3" fillId="4" borderId="0" xfId="0" applyNumberFormat="1" applyFont="1" applyFill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3" fillId="3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66" fontId="2" fillId="3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theme="1" tint="4.9989318521683403E-2"/>
      </font>
      <fill>
        <patternFill>
          <bgColor rgb="FF92D050"/>
        </patternFill>
      </fill>
    </dxf>
    <dxf>
      <font>
        <strike/>
      </font>
    </dxf>
    <dxf>
      <fill>
        <patternFill patternType="darkGrid">
          <fgColor theme="9" tint="0.39994506668294322"/>
          <bgColor theme="9" tint="0.7999816888943144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697C-AE3E-493F-B4BA-FE0DC79BA5B1}">
  <dimension ref="A1:K2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34.88671875" style="2" customWidth="1"/>
    <col min="2" max="2" width="9.77734375" style="2" bestFit="1" customWidth="1"/>
    <col min="3" max="3" width="16.44140625" style="2" customWidth="1"/>
    <col min="4" max="4" width="4.21875" customWidth="1"/>
    <col min="5" max="5" width="8.44140625" customWidth="1"/>
    <col min="6" max="8" width="31.77734375" customWidth="1"/>
    <col min="9" max="9" width="21.77734375" customWidth="1"/>
    <col min="10" max="10" width="4.109375" customWidth="1"/>
    <col min="11" max="11" width="9.44140625" customWidth="1"/>
  </cols>
  <sheetData>
    <row r="1" spans="1:11" ht="19.8" x14ac:dyDescent="0.3">
      <c r="A1" s="30" t="s">
        <v>8</v>
      </c>
      <c r="B1" s="30"/>
      <c r="C1" s="30"/>
      <c r="D1" s="5"/>
      <c r="E1" s="5"/>
      <c r="F1" s="6"/>
      <c r="G1" s="6"/>
      <c r="H1" s="6"/>
      <c r="I1" s="6"/>
      <c r="J1" s="6"/>
      <c r="K1" s="7"/>
    </row>
    <row r="2" spans="1:11" ht="18" customHeight="1" x14ac:dyDescent="0.3">
      <c r="A2" s="13"/>
      <c r="B2" s="14"/>
      <c r="C2" s="15"/>
      <c r="D2" s="6"/>
      <c r="E2" s="31" t="s">
        <v>5</v>
      </c>
      <c r="F2" s="1" t="s">
        <v>2</v>
      </c>
      <c r="G2" s="1"/>
      <c r="H2" s="1"/>
      <c r="I2" s="40">
        <f>SUM(F3:H3)</f>
        <v>290000</v>
      </c>
      <c r="J2" s="6"/>
      <c r="K2" s="28"/>
    </row>
    <row r="3" spans="1:11" ht="18" customHeight="1" x14ac:dyDescent="0.3">
      <c r="A3" s="16" t="s">
        <v>12</v>
      </c>
      <c r="B3" s="29">
        <v>1600000</v>
      </c>
      <c r="C3" s="29"/>
      <c r="D3" s="6"/>
      <c r="E3" s="32"/>
      <c r="F3" s="21">
        <f>_xlfn.IFNA(VLOOKUP(F2,$A$5:$C$9,3,),0)</f>
        <v>290000</v>
      </c>
      <c r="G3" s="21">
        <f>_xlfn.IFNA(VLOOKUP(G2,$A$5:$C$9,3,),0)</f>
        <v>0</v>
      </c>
      <c r="H3" s="21">
        <f>_xlfn.IFNA(VLOOKUP(H2,$A$5:$C$9,3,),0)</f>
        <v>0</v>
      </c>
      <c r="I3" s="41"/>
      <c r="J3" s="6"/>
      <c r="K3" s="28"/>
    </row>
    <row r="4" spans="1:11" ht="18" customHeight="1" x14ac:dyDescent="0.3">
      <c r="A4" s="13"/>
      <c r="B4" s="14"/>
      <c r="C4" s="17"/>
      <c r="D4" s="6"/>
      <c r="E4" s="31" t="s">
        <v>6</v>
      </c>
      <c r="F4" s="1" t="s">
        <v>1</v>
      </c>
      <c r="G4" s="1" t="s">
        <v>10</v>
      </c>
      <c r="H4" s="1"/>
      <c r="I4" s="40">
        <f>SUM(F5:H5)</f>
        <v>290000</v>
      </c>
      <c r="J4" s="6"/>
      <c r="K4" s="28"/>
    </row>
    <row r="5" spans="1:11" ht="18" customHeight="1" x14ac:dyDescent="0.3">
      <c r="A5" s="23" t="s">
        <v>0</v>
      </c>
      <c r="B5" s="3">
        <v>0.3</v>
      </c>
      <c r="C5" s="22">
        <f>$C$17*B5</f>
        <v>300000</v>
      </c>
      <c r="D5" s="8"/>
      <c r="E5" s="32"/>
      <c r="F5" s="21">
        <f>_xlfn.IFNA(VLOOKUP(F4,$A$5:$C$9,3,),0)</f>
        <v>240000</v>
      </c>
      <c r="G5" s="21">
        <f>_xlfn.IFNA(VLOOKUP(G4,$A$5:$C$9,3,),0)</f>
        <v>50000</v>
      </c>
      <c r="H5" s="21">
        <f>_xlfn.IFNA(VLOOKUP(H4,$A$5:$C$9,3,),0)</f>
        <v>0</v>
      </c>
      <c r="I5" s="41"/>
      <c r="J5" s="6"/>
      <c r="K5" s="28"/>
    </row>
    <row r="6" spans="1:11" ht="18" customHeight="1" x14ac:dyDescent="0.3">
      <c r="A6" s="24" t="s">
        <v>1</v>
      </c>
      <c r="B6" s="4">
        <v>0.24</v>
      </c>
      <c r="C6" s="22">
        <f t="shared" ref="C6:C9" si="0">$C$17*B6</f>
        <v>240000</v>
      </c>
      <c r="D6" s="6"/>
      <c r="E6" s="31" t="s">
        <v>7</v>
      </c>
      <c r="F6" s="1" t="s">
        <v>0</v>
      </c>
      <c r="G6" s="1" t="s">
        <v>3</v>
      </c>
      <c r="H6" s="1"/>
      <c r="I6" s="40">
        <f>SUM(F7:H7)</f>
        <v>420000</v>
      </c>
      <c r="J6" s="6"/>
      <c r="K6" s="28"/>
    </row>
    <row r="7" spans="1:11" ht="18" customHeight="1" x14ac:dyDescent="0.3">
      <c r="A7" s="24" t="s">
        <v>2</v>
      </c>
      <c r="B7" s="4">
        <v>0.28999999999999998</v>
      </c>
      <c r="C7" s="22">
        <f t="shared" si="0"/>
        <v>290000</v>
      </c>
      <c r="D7" s="6"/>
      <c r="E7" s="32"/>
      <c r="F7" s="21">
        <f>_xlfn.IFNA(VLOOKUP(F6,$A$5:$C$9,3,),0)</f>
        <v>300000</v>
      </c>
      <c r="G7" s="21">
        <f>_xlfn.IFNA(VLOOKUP(G6,$A$5:$C$9,3,),0)</f>
        <v>120000</v>
      </c>
      <c r="H7" s="21">
        <f>_xlfn.IFNA(VLOOKUP(H6,$A$5:$C$9,3,),0)</f>
        <v>0</v>
      </c>
      <c r="I7" s="41"/>
      <c r="J7" s="6"/>
      <c r="K7" s="28"/>
    </row>
    <row r="8" spans="1:11" ht="18" customHeight="1" x14ac:dyDescent="0.3">
      <c r="A8" s="24" t="s">
        <v>3</v>
      </c>
      <c r="B8" s="4">
        <v>0.12</v>
      </c>
      <c r="C8" s="22">
        <f t="shared" si="0"/>
        <v>120000</v>
      </c>
      <c r="D8" s="6"/>
      <c r="E8" s="34" t="s">
        <v>4</v>
      </c>
      <c r="F8" s="35"/>
      <c r="G8" s="35"/>
      <c r="H8" s="36"/>
      <c r="I8" s="33">
        <f>SUM(I2:I7)</f>
        <v>1000000</v>
      </c>
      <c r="J8" s="6"/>
      <c r="K8" s="10"/>
    </row>
    <row r="9" spans="1:11" ht="18" customHeight="1" x14ac:dyDescent="0.3">
      <c r="A9" s="24" t="s">
        <v>10</v>
      </c>
      <c r="B9" s="4">
        <v>0.05</v>
      </c>
      <c r="C9" s="22">
        <f t="shared" si="0"/>
        <v>50000</v>
      </c>
      <c r="D9" s="6"/>
      <c r="E9" s="37"/>
      <c r="F9" s="38"/>
      <c r="G9" s="38"/>
      <c r="H9" s="39"/>
      <c r="I9" s="33"/>
      <c r="J9" s="6"/>
      <c r="K9" s="10"/>
    </row>
    <row r="10" spans="1:11" ht="18" customHeight="1" x14ac:dyDescent="0.3">
      <c r="A10" s="9" t="s">
        <v>9</v>
      </c>
      <c r="B10" s="25"/>
      <c r="C10" s="27">
        <v>450000</v>
      </c>
      <c r="D10" s="6"/>
      <c r="E10" s="6"/>
      <c r="F10" s="6"/>
      <c r="G10" s="6"/>
      <c r="H10" s="6"/>
      <c r="I10" s="6"/>
      <c r="J10" s="6"/>
      <c r="K10" s="7"/>
    </row>
    <row r="11" spans="1:11" ht="18" customHeight="1" x14ac:dyDescent="0.3">
      <c r="A11" s="9" t="s">
        <v>11</v>
      </c>
      <c r="B11" s="25"/>
      <c r="C11" s="27">
        <v>150000</v>
      </c>
      <c r="D11" s="6"/>
      <c r="E11" s="7"/>
      <c r="F11" s="7"/>
      <c r="G11" s="7"/>
      <c r="H11" s="7"/>
      <c r="I11" s="7"/>
      <c r="J11" s="7"/>
      <c r="K11" s="7"/>
    </row>
    <row r="12" spans="1:11" ht="18" customHeight="1" x14ac:dyDescent="0.3">
      <c r="A12" s="9"/>
      <c r="B12" s="25"/>
      <c r="C12" s="27"/>
      <c r="D12" s="6"/>
      <c r="E12" s="7"/>
      <c r="F12" s="7"/>
      <c r="G12" s="7"/>
      <c r="H12" s="7"/>
      <c r="I12" s="7"/>
      <c r="J12" s="7"/>
      <c r="K12" s="7"/>
    </row>
    <row r="13" spans="1:11" ht="18" customHeight="1" x14ac:dyDescent="0.3">
      <c r="A13" s="9"/>
      <c r="B13" s="25"/>
      <c r="C13" s="27"/>
      <c r="D13" s="6"/>
      <c r="E13" s="7"/>
      <c r="F13" s="7"/>
      <c r="G13" s="7"/>
      <c r="H13" s="7"/>
      <c r="I13" s="7"/>
      <c r="J13" s="7"/>
      <c r="K13" s="7"/>
    </row>
    <row r="14" spans="1:11" ht="18" customHeight="1" x14ac:dyDescent="0.3">
      <c r="A14" s="9"/>
      <c r="B14" s="25"/>
      <c r="C14" s="27"/>
      <c r="D14" s="6"/>
      <c r="E14" s="7"/>
      <c r="F14" s="7"/>
      <c r="G14" s="7"/>
      <c r="H14" s="7"/>
      <c r="I14" s="7"/>
      <c r="J14" s="7"/>
      <c r="K14" s="7"/>
    </row>
    <row r="15" spans="1:11" ht="18" customHeight="1" x14ac:dyDescent="0.3">
      <c r="A15" s="9"/>
      <c r="B15" s="25"/>
      <c r="C15" s="27"/>
      <c r="D15" s="6"/>
      <c r="E15" s="7"/>
      <c r="F15" s="7"/>
      <c r="G15" s="7"/>
      <c r="H15" s="7"/>
      <c r="I15" s="7"/>
      <c r="J15" s="7"/>
      <c r="K15" s="7"/>
    </row>
    <row r="16" spans="1:11" ht="18" customHeight="1" x14ac:dyDescent="0.3">
      <c r="A16" s="18"/>
      <c r="B16" s="18"/>
      <c r="C16" s="18"/>
      <c r="D16" s="6"/>
      <c r="E16" s="7"/>
      <c r="F16" s="7"/>
      <c r="G16" s="7"/>
      <c r="H16" s="7"/>
      <c r="I16" s="7"/>
      <c r="J16" s="7"/>
      <c r="K16" s="7"/>
    </row>
    <row r="17" spans="1:11" ht="18" customHeight="1" x14ac:dyDescent="0.3">
      <c r="A17" s="19" t="s">
        <v>4</v>
      </c>
      <c r="B17" s="26">
        <f>SUM(B5:B15)</f>
        <v>1</v>
      </c>
      <c r="C17" s="20">
        <f>$B$3-(SUM(C10:C15))</f>
        <v>1000000</v>
      </c>
      <c r="D17" s="6"/>
      <c r="E17" s="7"/>
      <c r="F17" s="7"/>
      <c r="G17" s="7"/>
      <c r="H17" s="7"/>
      <c r="I17" s="7"/>
      <c r="J17" s="7"/>
      <c r="K17" s="7"/>
    </row>
    <row r="18" spans="1:11" ht="18" customHeight="1" x14ac:dyDescent="0.3">
      <c r="A18" s="11"/>
      <c r="B18" s="11"/>
      <c r="C18" s="11"/>
      <c r="D18" s="6"/>
      <c r="E18" s="7"/>
      <c r="F18" s="7"/>
      <c r="G18" s="7"/>
      <c r="H18" s="7"/>
      <c r="I18" s="7"/>
      <c r="J18" s="7"/>
      <c r="K18" s="7"/>
    </row>
    <row r="19" spans="1:11" ht="18" customHeight="1" x14ac:dyDescent="0.3">
      <c r="A19" s="12"/>
      <c r="B19" s="12"/>
      <c r="C19" s="12"/>
      <c r="D19" s="7"/>
      <c r="E19" s="7"/>
      <c r="F19" s="7"/>
      <c r="G19" s="7"/>
      <c r="H19" s="7"/>
      <c r="I19" s="7"/>
      <c r="J19" s="7"/>
      <c r="K19" s="7"/>
    </row>
    <row r="20" spans="1:11" ht="18" customHeight="1" x14ac:dyDescent="0.3"/>
    <row r="21" spans="1:11" ht="18" customHeight="1" x14ac:dyDescent="0.3"/>
    <row r="22" spans="1:11" ht="18" customHeight="1" x14ac:dyDescent="0.3"/>
    <row r="23" spans="1:11" ht="18" customHeight="1" x14ac:dyDescent="0.3"/>
    <row r="24" spans="1:11" ht="18" customHeight="1" x14ac:dyDescent="0.3"/>
  </sheetData>
  <sheetProtection sheet="1" objects="1" scenarios="1" selectLockedCells="1"/>
  <mergeCells count="13">
    <mergeCell ref="I8:I9"/>
    <mergeCell ref="E8:H9"/>
    <mergeCell ref="E4:E5"/>
    <mergeCell ref="E6:E7"/>
    <mergeCell ref="I2:I3"/>
    <mergeCell ref="I4:I5"/>
    <mergeCell ref="I6:I7"/>
    <mergeCell ref="K2:K3"/>
    <mergeCell ref="K4:K5"/>
    <mergeCell ref="K6:K7"/>
    <mergeCell ref="B3:C3"/>
    <mergeCell ref="A1:C1"/>
    <mergeCell ref="E2:E3"/>
  </mergeCells>
  <conditionalFormatting sqref="B17">
    <cfRule type="cellIs" dxfId="5" priority="1" operator="equal">
      <formula>100%</formula>
    </cfRule>
    <cfRule type="cellIs" dxfId="4" priority="2" operator="notEqual">
      <formula>100%</formula>
    </cfRule>
  </conditionalFormatting>
  <conditionalFormatting sqref="F2:H2 F4:H4 F6:H6">
    <cfRule type="notContainsBlanks" dxfId="3" priority="12">
      <formula>LEN(TRIM(F2))&gt;0</formula>
    </cfRule>
    <cfRule type="containsBlanks" dxfId="2" priority="13">
      <formula>LEN(TRIM(F2))=0</formula>
    </cfRule>
  </conditionalFormatting>
  <conditionalFormatting sqref="F3:H3 F5:H5 F7:H7">
    <cfRule type="cellIs" dxfId="1" priority="4" operator="equal">
      <formula>0</formula>
    </cfRule>
  </conditionalFormatting>
  <conditionalFormatting sqref="I8:I9">
    <cfRule type="cellIs" dxfId="0" priority="7" operator="equal">
      <formula>$C$17</formula>
    </cfRule>
  </conditionalFormatting>
  <dataValidations count="1">
    <dataValidation type="list" allowBlank="1" showInputMessage="1" showErrorMessage="1" sqref="F4:H4 F2:H2 F6:H6" xr:uid="{CEA1BBBF-4F77-4F55-89EA-0FE20F927F1F}">
      <formula1>$A$4:$A$9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Wage Distribution</dc:title>
  <dc:creator>asusr57000@outlook.com;G2</dc:creator>
  <cp:lastModifiedBy>asusr57000@outlook.com</cp:lastModifiedBy>
  <dcterms:created xsi:type="dcterms:W3CDTF">2026-06-17T13:12:28Z</dcterms:created>
  <dcterms:modified xsi:type="dcterms:W3CDTF">2026-06-29T20:29:46Z</dcterms:modified>
</cp:coreProperties>
</file>